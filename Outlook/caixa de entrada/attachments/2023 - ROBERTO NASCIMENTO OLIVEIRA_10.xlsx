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-120" yWindow="-120" windowWidth="29040" windowHeight="15720" tabRatio="798" activeTab="11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<sst xmlns="http://schemas.openxmlformats.org/spreadsheetml/2006/main" count="1450" uniqueCount="627">
  <si>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</si>
  <si>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</si>
  <si>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</si>
  <si>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</si>
  <si>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</si>
  <si>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</si>
  <si>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</si>
  <si>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</si>
  <si>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</si>
  <si>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</si>
  <si>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</si>
  <si>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</si>
  <si>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</si>
  <si>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</si>
  <si>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</si>
  <si>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</si>
  <si>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</si>
  <si>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</si>
  <si>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</si>
  <si>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</si>
  <si>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</si>
  <si>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</si>
  <si>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</si>
  <si>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</si>
  <si>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</si>
  <si>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</si>
  <si>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</si>
  <si>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</si>
  <si>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</si>
  <si>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</si>
  <si>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</si>
  <si>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</si>
  <si>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</si>
  <si>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</si>
  <si>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</si>
  <si>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</si>
  <si>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</si>
  <si>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</si>
  <si>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</si>
  <si>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</si>
  <si>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</si>
  <si>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</si>
  <si>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</si>
  <si>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</si>
  <si>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</si>
  <si>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</si>
  <si>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</si>
  <si>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</si>
  <si>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</si>
  <si>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</si>
  <si>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</si>
  <si>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</si>
  <si>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</si>
  <si>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</si>
  <si>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</si>
  <si>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</si>
  <si>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</si>
  <si>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</si>
  <si>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</si>
  <si>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</si>
  <si>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</si>
  <si>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</si>
  <si>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</si>
  <si>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</si>
  <si>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</si>
  <si>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</si>
  <si>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</si>
  <si>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</si>
  <si>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</si>
  <si>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</si>
  <si>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</si>
  <si>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</si>
  <si>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</si>
  <si>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</si>
  <si>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</si>
  <si>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</si>
  <si>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</si>
  <si>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</si>
  <si>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</si>
  <si>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</si>
  <si>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</si>
  <si>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</si>
  <si>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</si>
  <si>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</si>
  <si>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</si>
  <si>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</si>
  <si>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</si>
  <si>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</si>
  <si>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</si>
  <si>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</si>
  <si>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</si>
  <si>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</si>
  <si>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</si>
  <si>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</si>
  <si>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</si>
  <si>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</si>
  <si>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</si>
  <si>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</si>
  <si>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</si>
  <si>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</si>
  <si>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</si>
  <si>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</si>
  <si>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</si>
  <si>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</si>
  <si>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</si>
  <si>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</si>
  <si>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</si>
  <si>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</si>
  <si>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</si>
  <si>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</si>
  <si>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</si>
  <si>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</si>
  <si>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</si>
  <si>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</si>
  <si>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</si>
  <si>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</si>
  <si>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</si>
  <si>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</si>
  <si>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</si>
  <si>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</si>
  <si>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</si>
  <si>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</si>
  <si>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</si>
  <si>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</si>
  <si>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</si>
  <si>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</si>
  <si>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</si>
  <si>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</si>
  <si>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</si>
  <si>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</si>
  <si>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</si>
  <si>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</si>
  <si>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</si>
  <si>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</si>
  <si>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</si>
  <si>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</si>
  <si>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</si>
  <si>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</si>
  <si>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</si>
  <si>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</si>
  <si>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</si>
  <si>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</si>
  <si>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</si>
  <si>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</si>
  <si>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</si>
  <si>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</si>
  <si>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</si>
  <si>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</si>
  <si>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</si>
  <si>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</si>
  <si>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</si>
  <si>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</si>
  <si>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</si>
  <si>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</si>
  <si>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</si>
  <si>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</si>
  <si>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</si>
  <si>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</si>
  <si>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</si>
  <si>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</si>
  <si>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</si>
  <si>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</si>
  <si>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</si>
  <si>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</si>
  <si>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</si>
  <si>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</si>
  <si>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</si>
  <si>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</si>
  <si>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</si>
  <si>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</si>
  <si>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</si>
  <si>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</si>
  <si>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</si>
  <si>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</si>
  <si>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</si>
  <si>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</si>
  <si>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</si>
  <si>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</si>
  <si>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</si>
  <si>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</si>
  <si>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</si>
  <si>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</si>
  <si>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</si>
  <si>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</si>
  <si>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</si>
  <si>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</si>
  <si>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</si>
  <si>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</si>
  <si>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</si>
  <si>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</si>
  <si>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</si>
  <si>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</si>
  <si>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</si>
  <si>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</si>
  <si>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</si>
  <si>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</si>
  <si>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</si>
  <si>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</si>
  <si>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</si>
  <si>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</si>
  <si>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</si>
  <si>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</si>
  <si>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</si>
  <si>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</si>
  <si>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</si>
  <si>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</si>
  <si>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</si>
  <si>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</si>
  <si>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</si>
  <si>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</si>
  <si>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</si>
  <si>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</si>
  <si>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</si>
  <si>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</si>
  <si>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</si>
  <si>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</si>
  <si>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</si>
  <si>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</si>
  <si>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</si>
  <si>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</si>
  <si>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</si>
  <si>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</si>
  <si>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</si>
  <si>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</si>
  <si>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</si>
  <si>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</si>
  <si>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</si>
  <si>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</si>
  <si>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</si>
  <si>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</si>
  <si>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</si>
  <si>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</si>
  <si>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</si>
  <si>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</si>
  <si>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</si>
  <si>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</si>
  <si>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</si>
  <si>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</si>
  <si>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</si>
  <si>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</si>
  <si>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</si>
  <si>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</si>
  <si>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</si>
  <si>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</si>
  <si>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</si>
  <si>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</si>
  <si>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</si>
  <si>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</si>
  <si>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</si>
  <si>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</si>
  <si>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</si>
  <si>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</si>
  <si>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</si>
  <si>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</si>
  <si>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</si>
  <si>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</si>
  <si>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</si>
  <si>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</si>
  <si>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</si>
  <si>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</si>
  <si>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</si>
  <si>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</si>
  <si>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</si>
  <si>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</si>
  <si>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</si>
  <si>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</si>
  <si>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</si>
  <si>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</si>
  <si>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</si>
  <si>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</si>
  <si>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</si>
  <si>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</si>
  <si>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</si>
  <si>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</si>
  <si>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</si>
  <si>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</si>
  <si>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</si>
  <si>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</si>
  <si>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</si>
  <si>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</si>
  <si>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</si>
  <si>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</si>
  <si>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</si>
  <si>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</si>
  <si>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</si>
  <si>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</si>
  <si>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</si>
  <si>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</si>
  <si>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</si>
  <si>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</si>
  <si>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</si>
  <si>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</si>
  <si>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</si>
  <si>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</si>
  <si>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</si>
  <si>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</si>
  <si>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</si>
  <si>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</si>
  <si>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</si>
  <si>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</si>
  <si>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</si>
  <si>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</si>
  <si>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</si>
  <si>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</si>
  <si>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</si>
  <si>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</si>
  <si>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</si>
  <si>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</si>
  <si>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</si>
  <si>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</si>
  <si>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</si>
  <si>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</si>
  <si>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</si>
  <si>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</si>
  <si>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</si>
  <si>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</si>
  <si>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</si>
  <si>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</si>
  <si>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</si>
  <si>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</si>
  <si>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</si>
  <si>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</si>
  <si>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</si>
  <si>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</si>
  <si>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</si>
  <si>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</si>
  <si>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</si>
  <si>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</si>
  <si>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</si>
  <si>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</si>
  <si>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</si>
  <si>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</si>
  <si>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</si>
  <si>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</si>
  <si>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</si>
  <si>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</si>
  <si>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</si>
  <si>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</si>
  <si>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</si>
  <si>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</si>
  <si>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</si>
  <si>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</si>
  <si>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</si>
  <si>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</si>
  <si>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</si>
  <si>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</si>
  <si>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</si>
  <si>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</si>
  <si>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</si>
  <si>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</si>
  <si>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</si>
  <si>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</si>
  <si>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</si>
  <si>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</si>
  <si>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</si>
  <si>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</si>
  <si>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</si>
  <si>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</si>
  <si>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</si>
  <si>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</si>
  <si>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</si>
  <si>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</si>
  <si>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</si>
  <si>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</si>
  <si>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</si>
  <si>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</si>
  <si>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</si>
  <si>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</si>
  <si>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</si>
  <si>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</si>
  <si>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</si>
  <si>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</si>
  <si>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</si>
  <si>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</si>
  <si>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</si>
  <si>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</si>
  <si>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</si>
  <si>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</si>
  <si>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</si>
  <si>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</si>
  <si>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</si>
  <si>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</si>
  <si>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</si>
  <si>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</si>
  <si>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</si>
  <si>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</si>
  <si>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</si>
  <si>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</si>
  <si>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</si>
  <si>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</si>
  <si>
    <t>SE SÃO JOÃO DO PIAUI - 69kV - 02J3 - INTERLIGAÇÃO</t>
  </si>
  <si>
    <t>SE SÃO JOÃO DO PIAUI - 69kV - 02J3 - FUNCIONAL</t>
  </si>
  <si>
    <t>SE SÃO JOÃO DO PIAUÍ - 69kV - 02A1 - FIAÇÃO</t>
  </si>
  <si>
    <t>SE SÃO JOÃO DO PIAUÍ - 230kV - 04T4 - FUNCIONA</t>
  </si>
  <si>
    <t>SE SÃO JOÃO DO PIAUÍ - 230kV - 04T4 - INTERLIGAÇÃO</t>
  </si>
  <si>
    <t>SE SÃO JOÃO DO PIAUÍ - 230kV - 04T4 - FIAÇÃO</t>
  </si>
  <si>
    <t>SE SÃO JOÃO DO PIAUÍ - 69kV - 02A1 - FUCIONAL</t>
  </si>
  <si>
    <t>SE SÃO JOÃO DO PIAUÍ - 230kV - 04T3 - INTERLIGAÇÃO</t>
  </si>
  <si>
    <t>SE SÃO JOÃO DO PIAUÍ - 230kV - 04T3 - FIAÇÃO</t>
  </si>
  <si>
    <t>SE MOSSORÓ II - 230kV - 04L2 - FUNCIONAL</t>
  </si>
  <si>
    <t>SE MOSSORÓ II - 230kV - 04L2 - INTERLIGAÇÃO</t>
  </si>
  <si>
    <t>SE MOSSORÓ II - 230kV - 04L1 - FIAÇÃO</t>
  </si>
  <si>
    <t>SE ANGELIM - 69kV - 02J2 - FIAÇÃO</t>
  </si>
  <si>
    <t>SE MOSSORÓ II - 69kV - 02J5 - INTERLIGAÇÃO</t>
  </si>
  <si>
    <t>SE PITUAÇU - 230kV - 04T1 - FIAÇÃO</t>
  </si>
  <si>
    <t>SE PITUAÇU - 230kV - 04T1 - INTERLIGAÇÃO</t>
  </si>
  <si>
    <t>SE PITUAÇU - 230kV - 04L4 - FIAÇÃO</t>
  </si>
  <si>
    <t>SE PITUAÇU - 230kV - 04L4 - INTERLIGAÇÃO</t>
  </si>
  <si>
    <t>SE MOSSORO - 230kV - 04L2 - FIAÇÃO</t>
  </si>
  <si>
    <t>SE MOSSORO - 69kV - 02J6 - INTERLIGAÇÃO</t>
  </si>
  <si>
    <t>SE RECIFE II - 500kV - 05T1 - INTERLIGAÇÃO -</t>
  </si>
  <si>
    <t>Omexom-CGE Babilônia Centro-SE Babilônia Centro-Executivo-Elétrico-Cx. De Ligação de TPs, TCs e Caixa de distribuição--</t>
  </si>
  <si>
    <t>SE BABILÔNIA CENTRO - CAIXA DE PÁTIO TP</t>
  </si>
  <si>
    <t>SE MOSSORO - 69kV - 02J6 - FUNCIONAL</t>
  </si>
  <si>
    <t>SE MOSSORO - 69kV - 02J6 - FIAÇÃO</t>
  </si>
  <si>
    <t>SE MOSSORO - 69kV - 02J5 - FUNCIONAL</t>
  </si>
  <si>
    <t>SE MOSSORO - 69kV - 02J5 - FIAÇÃO</t>
  </si>
  <si>
    <t>SE BABILÔNIA CENTRO - CAIXA DE PÁTIO TC</t>
  </si>
  <si>
    <t>SE MIRUEIRA - 69kV - VÃO M - FIAÇÃO</t>
  </si>
  <si>
    <t>Chesf-SE Camaçari IV-CMQ_Reator 500 kV-Básico-Elétrico-Levantamento de Campo--</t>
  </si>
  <si>
    <t>SE CAMAÇARI IV - 500KV - CABANA SERVIÇO AUXILIAR</t>
  </si>
  <si>
    <t>Omexom-CGE Babilônia Centro-SE Babilônia Centro-Executivo-Elétrico-Unifilar de Proteção e Controle--</t>
  </si>
  <si>
    <t>SE BABILÔNIA CENTRO - DIAGRAMA UNIFILAR</t>
  </si>
  <si>
    <t>GE Grid-Ce Canudos II-CAD-Executivo-Eletromec.-Conforme Construído--</t>
  </si>
  <si>
    <t>SE CANUDOS II - CAIXA DE LIGAÇÕES</t>
  </si>
  <si>
    <t>SE PIRAPAMA - LEVANTAMENTO DE CAMPO</t>
  </si>
  <si>
    <t>SE IBICOARA - EL 138kV - ARQ. SIMPLIFICADA</t>
  </si>
  <si>
    <t>SE MOSSORÓ - 230kV - 04T1 - FUNCIONAL</t>
  </si>
  <si>
    <t>SE COTEGIPE -230kV - 04L1 - INTERLIGAÇÃO</t>
  </si>
  <si>
    <t>SE COTEGIPE -230kV - 04T4 - INTERLIGAÇÃO</t>
  </si>
  <si>
    <t>SE MOSSORÓ - 230kV - 04T1 - INTERLIGAÇÃO</t>
  </si>
  <si>
    <t>Siemens-PG 3881-SJI-Executivo-Elétrico-Serv. Auxiliares--</t>
  </si>
  <si>
    <t>SE SÃO JOÃO DO PIAUÍ - SERVIÇOS AUXILIARES</t>
  </si>
  <si>
    <t>Chesf-SE Açu II-ACD_Transformador 230_69 kV e TT 69 kV-Básico-Elétrico-Levantamento de Campo--</t>
  </si>
  <si>
    <t>SE Açu II 230_69kV + TT 69k - CASA DE COMANDO</t>
  </si>
  <si>
    <t>SE JUAZEIRO DA BAIA II - 230kV - 04S1 - FIAÇÃO</t>
  </si>
  <si>
    <t>SE SÃO JOÃO DO PIAUI - 69kV - 02T4 - FUNCIONAL</t>
  </si>
  <si>
    <t>SE SERRA DO TIGRE NORTE - DISPOSIÇÃO DE APARELHAGEM</t>
  </si>
  <si>
    <t>Chesf-SE Açu II-ACD_Transformador 230_69 kV e TT 69 kV-Básico-Elétrico-Arquitetura de Rede--</t>
  </si>
  <si>
    <t>SE ACÚ - 230_69kV E TT - NÍVEL 2</t>
  </si>
  <si>
    <t>SE ACÚ - 230_69kV E TT - LEVANTAMENTO DE CAMPO</t>
  </si>
  <si>
    <t>Siemens-PG 3881-MLG-Executivo-Elétrico-Setor 230kV--</t>
  </si>
  <si>
    <t>SE MILAGRES - 230kV - 04E4 - FUNCIONAL</t>
  </si>
  <si>
    <t>SE SÃO JOÃO DO PIAUÍ - 69kV - 02A1 - INTERLIGAÇÃO -</t>
  </si>
  <si>
    <t>SE JUAZEIRO II - 230kV - 04N2 - INTERLIGAÇÃO</t>
  </si>
  <si>
    <t>SE JUAZEIRO II - 230kV - 04N2 - FUNCIONAL</t>
  </si>
  <si>
    <t>SE JUAZEIRO II - 230kV - 04N2 - FIAÇÃO</t>
  </si>
  <si>
    <t>SE SÃO JOÃO DO PIAUÍ - 69kV - 02J1 - FUNCIONAL</t>
  </si>
  <si>
    <t>SE JUAZEIRO II - 230kV - 04S1 - FUNCIONAL</t>
  </si>
  <si>
    <t>SE JUAZEIRO II - 230kV - 04S1 - INTERLIGAÇÃO</t>
  </si>
  <si>
    <t>Siemens-PG 2900-PTU-Executivo-Elétrico-Setor 69kV--</t>
  </si>
  <si>
    <t>SE PITUAÇU - 69kV - 02J4 - INTERLIGAÇÃO</t>
  </si>
  <si>
    <t>SE MIRUEIRA - 230kV - UNIDADE DE CONTROLE</t>
  </si>
  <si>
    <t>SE MIRUEIRA - 69kV - 02J7 - FIAÇÃO</t>
  </si>
  <si>
    <t>SE NATAL II - 230kV - 04N3 - FUNCIONAL</t>
  </si>
  <si>
    <t>Interest-Interest-Administrativo-Administrativo------</t>
  </si>
  <si>
    <t>ALSENCIA DE ATIVIDADE POR FALTA DE ELETRICIDADE</t>
  </si>
  <si>
    <t>SE PITUAÇU - 69kV - 02T3 - FUNCIONAL</t>
  </si>
  <si>
    <t>SE JUAZEIRO II - 230kV - 04S1 - FIAÇÃO</t>
  </si>
  <si>
    <t>SE PITUAÇU - 69kV - 02T2 - FUNCIONAL</t>
  </si>
  <si>
    <t>SE NATAL II - 230kV - 04N3 - INTERLIGAÇÃO</t>
  </si>
  <si>
    <t>SE MILAGRES - 230kV - 04E4 - INTERLIGAÇÃO</t>
  </si>
  <si>
    <t>SE PITUAÇU - 69kV - 02T2 - FIAÇÃO</t>
  </si>
  <si>
    <t>Siemens-PG 3881-BNB-Executivo-Elétrico-Setor 69kV--</t>
  </si>
  <si>
    <t>SE BANABUIU - 69kV - 02T1 - INTERLIGAÇÃO</t>
  </si>
  <si>
    <t>SE BANABUIU - 69kV - 02T1 - FUNCIONAL</t>
  </si>
  <si>
    <t>SE BANABUIU - 69kV - 02T1 - FIAÇÃO</t>
  </si>
  <si>
    <t>SE MILAGRES - 230kV - PPSD - INTERLIGAÇÃO</t>
  </si>
  <si>
    <t>SE PITUAÇU - 69kV - 02T3 - FIAÇÃO</t>
  </si>
  <si>
    <t>SE PITUAÇU - 69kV - 02T3 - INTERLIGAÇÃO</t>
  </si>
  <si>
    <t>SE MOSSORÓ II - 230kV - QRA3 - FIAÇÃO</t>
  </si>
  <si>
    <t>SE MOSSORÓ II - 230kV - QRA7 - FIAÇÃO</t>
  </si>
  <si>
    <t>SE PITUAÇU - 69kV - 02T2 - INTERLIGAÇÃO</t>
  </si>
  <si>
    <t>SE MOSSORÓ II - 69kV - 12D1 - FUNCIONAL</t>
  </si>
  <si>
    <t>SE MILAGRES - 230kV - 04E4 - FIAÇÃO</t>
  </si>
  <si>
    <t>SE MOSORÓ - 69kV - 02D1 - FUNCIONAL</t>
  </si>
  <si>
    <t>Omexom-CGE Babilônia Centro-SE Babilônia Centro-Executivo-Elétrico-Unifilares de Serviços Auxiliares--</t>
  </si>
  <si>
    <t>SE OUROLÂNDIA - BABILONIA CENTRO - DIAGRAMA UNIFILAR</t>
  </si>
  <si>
    <t>SE COREMAS - 230kV - 04M6 - FIAÇÃO</t>
  </si>
  <si>
    <t>SE PITUAÇU - 69kV - 02J3 - FUNCIONAL</t>
  </si>
  <si>
    <t>SE PITUAÇU - 230kV - 04M8 - FIAÇÃO</t>
  </si>
  <si>
    <t>SE PITUAÇU - 230kV - 04M8 - INTERLIGAÇÃO</t>
  </si>
  <si>
    <t>SE PITUAÇU - 69kV - 02J3 - FIAÇÃO</t>
  </si>
  <si>
    <t>SE PITUAÇU - 69kV - 02J4 - FUNCIONAL</t>
  </si>
  <si>
    <t>SE PITUAÇU - 69kV - 02J4 - FIAÇÃO</t>
  </si>
  <si>
    <t>SE PITUAÇU - 230kV - 04T2 - INTERLIGAÇÃO</t>
  </si>
  <si>
    <t>SE COREMAS - 230kV - 04M6 - INTERLIGAÇÃO</t>
  </si>
  <si>
    <t>Siemens-PG 2900-PTU-Executivo-Elétrico-Serv. Auxiliares--</t>
  </si>
  <si>
    <t>SE PITUAÇU - SERVIÇO AUXILIAR CA - INTERLIGAÇÃO</t>
  </si>
  <si>
    <t>SE BABILÔNIA CENTRO - CAIXA DE PÁTIO</t>
  </si>
  <si>
    <t>SE SÃO JOÃO DO PIAUÍ - 69kV - 02T4 - FUNCIONA</t>
  </si>
  <si>
    <t>Chesf-SE Camaçari IV-CMQ_Reator 500 kV-Básico-Elétrico-Unifilar de Proteção--</t>
  </si>
  <si>
    <t>SE CAMAÇARI IV - 500kV - DIAGRAMA UNIFILAR PROTEÇÃO/ MEDIÇÃO</t>
  </si>
  <si>
    <t>SE MOSSIRÓ - 230kV - 04D1 - FUNCIONAL</t>
  </si>
  <si>
    <t>SE PITUAÇU - SERVIÇO AUXILIAR CA</t>
  </si>
  <si>
    <t>SE SÃO JOÃO DO PIAUÍ - 69kV - SERVIÇOS AUXILIARES CA</t>
  </si>
  <si>
    <t>TALDI-SEs Natal III e Paraíso-SE Natal III-Executivo-Elétrica-Diagramas Funcionais e lógicos 230 kV--</t>
  </si>
  <si>
    <t>SE NATAL III - 69kV - 02T3 - FUNCIONAL</t>
  </si>
  <si>
    <t>SE MOSSORÓ - 69kV - 02J3 - FUNCIONAL</t>
  </si>
  <si>
    <t>SE MOSSORÓ - 69kV - 02J3 - FIAÇÃO</t>
  </si>
  <si>
    <t>TALDI-SEs Natal III e Paraíso-SE Natal III-Executivo-Elétrica-Unifilares de Serviços Auxiliares--</t>
  </si>
  <si>
    <t>SE NATAL III - DIAGRAMA UNIFILAR SERVIÇOS AUXILIARES</t>
  </si>
  <si>
    <t>Siemens-PG 4121-GNN-Executivo-Elétrico-Conforme Construído--</t>
  </si>
  <si>
    <t>SE GOIANINHA - 69kV - 04T1 - INTERLIGAÇÃO</t>
  </si>
  <si>
    <t>SE GOIANINHA - 69kV - 04T1 - FIAÇÃO</t>
  </si>
  <si>
    <t>TALDI-SEs Natal III e Paraíso-SE Natal III-Executivo-Elétrica-Diagramas Funcionais e lógicos 69 kV--</t>
  </si>
  <si>
    <t>SE MOSSORÓ - 230kV - QRA6 - INTERLIGAÇÃO</t>
  </si>
  <si>
    <t>TALDI-SEs Natal III e Paraíso-SE Paraíso-Executivo-Elétrica-Diagramas Funcionais Serviços Auxiliares--</t>
  </si>
  <si>
    <t>SE COREMAS - 230kV - 04T1 - FUNCIONAL</t>
  </si>
  <si>
    <t>SE PITUAÇU - 230kV - TRAFO T2 - FIAÇÃO</t>
  </si>
  <si>
    <t>SE PITUAÇU - 69kV - 02T6 - INTERLIGAÇÃO</t>
  </si>
  <si>
    <t>SE PITUAÇU - 69kV - 02T6 - FUNCIONAL</t>
  </si>
  <si>
    <t>SE MOSSORÓ - 69kV - 02J3 - INTERLIGAÇÃO</t>
  </si>
  <si>
    <t>SE NATAL III - 69kV - VÃO A - FUNCIONAL</t>
  </si>
  <si>
    <t>SE NATAL III - 69kV - VÃO F/H - FUNCIONAL</t>
  </si>
  <si>
    <t>SE NATAL III - 69kV - VÃO E/I - FUNCIONAL</t>
  </si>
  <si>
    <t>SE NATAL III - 69kV - TRAFO T1 - FUNCIONAL</t>
  </si>
  <si>
    <t>SE NATAL III - 69kV - TRAFO T2 - FUNCIONAL</t>
  </si>
  <si>
    <t xml:space="preserve">SE NATAL III - 69kV - TRAFO T3 - FUNCIONAL </t>
  </si>
  <si>
    <t>SE NATAL III - 69kV - VÃO B e D - FUNCIONAL</t>
  </si>
  <si>
    <t>SE NATAL III - CRIAR PDF</t>
  </si>
  <si>
    <t>SE NATAL III - 69kV - VÃO A - FIAÇÃO</t>
  </si>
  <si>
    <t>SE PITUAÇU - 230kV - 02V1 - INTERLIGAÇÃO</t>
  </si>
  <si>
    <t>SE PITUAÇU - 69kV - PARALELISMO - INTERLIGAÇÃO</t>
  </si>
  <si>
    <t>SE PITUAÇU - 69kV - 02D1 - INTERLIGAÇÃO</t>
  </si>
  <si>
    <t>SE PITUAÇU - 69kV - 02D1 - FUNCIONAL</t>
  </si>
  <si>
    <t>SE PITUAÇU - 69kV - 02D1 - FIAÇÃO</t>
  </si>
  <si>
    <t>SE MOSSORÓ II - 230kV - 04D1 - INTERLIGAÇÃO</t>
  </si>
  <si>
    <t>SE MOSSORÓ II - 230kV - 04D1 - FUNCIONAL</t>
  </si>
  <si>
    <t>SE COREMAS - 230kV - 04T2 - FUNCIONAL</t>
  </si>
  <si>
    <t xml:space="preserve">SE ANGELIM - 69kV - 02J1 - FIAÇÃO </t>
  </si>
  <si>
    <t>CHESF-Angelim ELs 69 kV-SE Angelim-Executivo-Elétrico-Conforme Construído--</t>
  </si>
  <si>
    <t xml:space="preserve">SE PITUAÇU - 230kV - 04T1 - INTERLIGAÇÃO </t>
  </si>
  <si>
    <t>SE NATAL III - 69kV - TRAFO TERRA_TT2 - FIAÇÃO</t>
  </si>
  <si>
    <t>SE MOSSORÓ - 230kV - 04D1 - FIAÇÃO</t>
  </si>
  <si>
    <t>Siemens-PG 3881-CMA-Executivo-Elétrico-Setor 69kV--</t>
  </si>
  <si>
    <t>SE COREMAS - 69kV - 02J5 - FUNCIONAL</t>
  </si>
  <si>
    <t xml:space="preserve">SE COREMAS - 69kV - 02J5 - INTERLIGAÇÃO </t>
  </si>
  <si>
    <t>SE COREMAS - 69kV - 02J5 - FIAÇÃO</t>
  </si>
  <si>
    <t>SE COREMAS - 230kV - 04T1 - FIAÇÃO</t>
  </si>
  <si>
    <t>SE COREMAS - 230kV - 04T1 - INTERLIGAÇÃO</t>
  </si>
  <si>
    <t>SE COREMAS - 230kV - 04T2 - INTERLIGAÇÃO</t>
  </si>
  <si>
    <t>SE COREMAS - 230kV - 04T2 - FIAÇÃO</t>
  </si>
  <si>
    <t xml:space="preserve">SE COREMAS - 69kV - 02J9 - FUNCIONAL </t>
  </si>
  <si>
    <t>SE COREMAS - 69kV - 02T1 - FUNCIONAL</t>
  </si>
  <si>
    <t>SE COREMAS - 69kV - 02T1 - INTERLIGAÇÃO</t>
  </si>
  <si>
    <t>SE COREMAS - 69kV - 02D1 - FUNCIONAL</t>
  </si>
  <si>
    <t>SE COREMAS - 230kV - 04D1 - INTERLIGAÇÃO</t>
  </si>
  <si>
    <t>SE COREMAS - 230kV - 04D1 - FUNCIONAL</t>
  </si>
  <si>
    <t>SE PARAISO - SERVIÇOS AUXILIARES - FUNCIONAL</t>
  </si>
  <si>
    <t>SE PITUAÇU - 69kV - PARALELISMO - FUNCIONAL</t>
  </si>
  <si>
    <t>Siemens-PG 4121-AGD-Executivo-Elétrico-Setor 500kV--</t>
  </si>
  <si>
    <t>SE ANGELIM - 500kV - VÃO D - INTERLIGAÇÃO</t>
  </si>
  <si>
    <t>SE NATAL III - 69kV - TRAFO TERRA_TT - INTERLIGAÇÃO</t>
  </si>
  <si>
    <t>SE COREMAS - 69kV - 02D1 - INTERLIGAÇÃO</t>
  </si>
  <si>
    <t>SE MOSSORÓ - UTR - INTERLIGAÇÃO</t>
  </si>
  <si>
    <t>Siemens-PG 3881-CMA-Executivo-Elétrico-Serv. Auxiliares--</t>
  </si>
  <si>
    <t>Siemens-PG 4121-MRR-Executivo-Eletromec.-Conforme Construído--</t>
  </si>
  <si>
    <t>SE COREMAS - SERVIÇO AUXILIAR CA - INTERLIGAÇÃO</t>
  </si>
  <si>
    <t>SE MIRUEIRA - 69kV - 02J6 - FIAÇÃO</t>
  </si>
  <si>
    <t>SE MOSSORÓ - 230kV - QRA - INTERLIGAÇÃO</t>
  </si>
  <si>
    <t>Siemens-PG 2900-GVM-Executivo-Elétrico-Setor 69kV--</t>
  </si>
  <si>
    <t>SE GOVERNADOR MANGABEIRA - 69kV - 02V1 - FUNCIONAL</t>
  </si>
  <si>
    <t>SE ANGELIM - 500kV - VÃO D - FUNCIONAL</t>
  </si>
  <si>
    <t>SE COREMAS - 69kV - 02D1 - MEMORIAL DESCRITIVO</t>
  </si>
  <si>
    <t>GE GRID-CE Serra do Tigre-SE Serra do Tigre Norte-Executivo-Elétrico-Cx. De Ligação de TPs, TCs e Caixa de distribuição--</t>
  </si>
  <si>
    <t>SE SERRA DO TIGRE NORTE - CAIXAS DE PÁTIO</t>
  </si>
  <si>
    <t>SE COREMAS - 69kV - 02D1 - INTERTIGAÇÃO</t>
  </si>
  <si>
    <t>SE MOSSORÓ - 69kV - QRAs - INTERLIGAÇÃO</t>
  </si>
  <si>
    <t>SE MOSSORÓ - 69kV - QRAs - FIAÇÃO</t>
  </si>
  <si>
    <t>SE ANGELIM - 500kV - VÃO C - MEMORIAL DESCRITIVO</t>
  </si>
  <si>
    <t>SE MOSORRÓ - 69kV - 02T1 - FUNCIONAL</t>
  </si>
  <si>
    <t>Chesf-SEs Pirapama II_Catu_Russas II-PRD_TT 69 kV-Básico-Elétrica-Levantamento de Campo--</t>
  </si>
  <si>
    <t>SE ANGELIM - 500kV - VÃO D - MEMORIAL DESCRITIVO</t>
  </si>
  <si>
    <t>Siemens-PG 3881-MSD-Executivo-Elétrico-Serv. Auxiliares--</t>
  </si>
  <si>
    <t>Omexom-CGE Babilônia Centro-SE Ourolândia II-Executivo-Elétrico-Cx. De Ligação de TPs, TCs e Caixa de distribuição--</t>
  </si>
  <si>
    <t>SE OUROLÂNDIA - CAIXA DE PÁTIO</t>
  </si>
  <si>
    <t>SE ANGELIM - 500kV - VÃO C - FUNCIONAL</t>
  </si>
  <si>
    <t>SE NATAL III - 69kV - TRAFO ATERRAMENTO TT2 - CONSTRUTIVO</t>
  </si>
  <si>
    <t>SE MOSSORÓ - QRA3 - INTERLIGAÇÃO</t>
  </si>
  <si>
    <t xml:space="preserve">SE MOSSORÓ - QRA3 - FIAÇÃO </t>
  </si>
  <si>
    <t>SE ANGELIM - 500kV - VÃO D - FIAÇÃO</t>
  </si>
  <si>
    <t>SE MOSSORÓ II - 69kV - 12D1 - FIAÇÃO</t>
  </si>
  <si>
    <t>SE MOSSORÓ II - 69kV - 12D1 - INTERLIGAÇÃO</t>
  </si>
  <si>
    <t>SE SÃO JOÃO DO PIAUÍ - CONVERTENDO PDF</t>
  </si>
  <si>
    <t>VISITA TECNICA AO ANEXO VI CHESF - FOTOGRAFAR CADERNOS ANGELIM</t>
  </si>
  <si>
    <t>SE ANGELIM - 500kV - VÃO C - FIAÇÃO</t>
  </si>
  <si>
    <t>SE MOSSORÓ - SERVIÇO AUXILIAR</t>
  </si>
  <si>
    <t>SE MOSSORÓ II - 69kV - 02J6 - INTERLIGAÇÃO</t>
  </si>
  <si>
    <t>SE ANGELIM - 500kV - FIAÇÃO QRA8</t>
  </si>
  <si>
    <t>SE ANGELIM - 500kV - VÃO C - INTERLIGAÇÃO</t>
  </si>
  <si>
    <t>SE COREMAS - 69kV - 02J8 - FUNCIONAL -</t>
  </si>
  <si>
    <t>Siemens-PG 3881-PRI-Executivo-Elétrico-Conforme Construído--</t>
  </si>
  <si>
    <t>SE PIRIPIRI - 69kV - 02J1 - INTERLIGAÇÃO</t>
  </si>
  <si>
    <t>SE PIRIPIRI - 69kV - 02J1 - FUNCIONAL</t>
  </si>
  <si>
    <t>SE PIRIPIRI - 69kV - 02J1 - FIAÇÃO</t>
  </si>
  <si>
    <t>SE PIRIPIRI - 69kV - 02J2 - FUNCIONAL</t>
  </si>
  <si>
    <t>SE COREMAS  - SERVIÇOS AUXILIARES</t>
  </si>
  <si>
    <t>SE MUSSURÉ - ORGANIZANDO PASTAS</t>
  </si>
  <si>
    <t>Siemens-PG 3881-PRI-Executivo-Eletromec.-Conforme Construído--</t>
  </si>
  <si>
    <t>SE PIRIPIRI - 230kV - 04T1 - FUNCIONAL</t>
  </si>
  <si>
    <t>SE PIRIPIRI - 230kV - 04T1 - INTERLIGAÇÃO</t>
  </si>
  <si>
    <t>SE PIRIPIRI - 230kV - 04T2 - FUNCIONAL</t>
  </si>
  <si>
    <t>SE PIRIPIRI - 230kV - 04T2 - INTERLIGAÇÃO</t>
  </si>
  <si>
    <t>SE PIRIPIRI - 230kV - 04D1 - INTERLIGAÇÃO</t>
  </si>
  <si>
    <t>SE PIRIPIRI - 230kV - 04D1 - FIAÇÃO</t>
  </si>
  <si>
    <t xml:space="preserve">SE PIRIPIRI - 230kV - 04S1 - FUNCIONAL </t>
  </si>
  <si>
    <t>SE PIRIPIRI - 230kV - 04S1 - INTERLIGAÇÃO</t>
  </si>
  <si>
    <t>SE PIRIPIRI - 230kV - 04S1 - FIAÇÃO</t>
  </si>
  <si>
    <t>SE GOVERNADOR - 69kV - 02V5 - FUNCIONAL</t>
  </si>
  <si>
    <t>SE PIRIPIRI - 230kV - UC - FUNCIONAL</t>
  </si>
  <si>
    <t>SE MOSSORÓ - 69kV - 02J9 - FIAÇÃO</t>
  </si>
  <si>
    <t>SE GOVERNADOR - 69kV - 02V7 - FUNCIONAL</t>
  </si>
  <si>
    <t>SE PIRIPIRI - 230kV - UC - INTERLIGAÇÃO</t>
  </si>
  <si>
    <t>SE MIRUEIRA - 69kV - 02J9 - FUNCIONAL</t>
  </si>
  <si>
    <t>SE MIRUEIRA - 69kV - 02J9 - FIAÇÃO</t>
  </si>
  <si>
    <t>SE GOVERNADOR - 69kV - 02V1 - FUNCIONAL</t>
  </si>
  <si>
    <t>SE MIRUEIRA - 69kV - 02J9 - INTERLIGAÇÃO</t>
  </si>
  <si>
    <t>SE GOVERNADOR - 69kV - 02V7 - INTERLIGAÇÃO</t>
  </si>
  <si>
    <t>SE GOVERNADOR - 69kV - 02V1 - FIAÇÃO</t>
  </si>
  <si>
    <t>SE GOVERNADOR - 69kV - 02V5 - FIAÇÃO</t>
  </si>
  <si>
    <t>SE PIRIPIRI - 69kV - 02T2 - FUNCIONAL</t>
  </si>
  <si>
    <t>SE PIRIPIRI - 69kV - 2UA2K - FIAÇÃO</t>
  </si>
  <si>
    <t>SE GOVERNADOR - 69kV - 02V1 - INTERLIGAÇÃO</t>
  </si>
  <si>
    <t>SE GOVERNADOR - 69kV - 02V7 - FIAÇÃO</t>
  </si>
  <si>
    <t>SE ANGELIM - 500kV - 05L6 - FUNCIONAL</t>
  </si>
  <si>
    <t>SE COREMAS - 230kV - 04D1 - FIAÇÃO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</si>
</sst>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Border="1" applyAlignment="1">
      <alignment horizontal="center" vertical="center"/>
    </xf>
    <xf numFmtId="0" fontId="2" fillId="4" borderId="25" xfId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25" zoomScaleNormal="25" workbookViewId="0">
      <pane xSplit="3" topLeftCell="D1" activePane="topRight" state="frozen"/>
      <selection pane="topRight" activeCell="B27" sqref="B27:C2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2">
        <v>5</v>
      </c>
      <c r="O8" s="42">
        <v>5</v>
      </c>
      <c r="P8" s="42">
        <v>6</v>
      </c>
      <c r="Q8" s="42"/>
      <c r="R8" s="42"/>
      <c r="S8" s="42"/>
      <c r="T8" s="42"/>
      <c r="U8" s="42">
        <v>3.5</v>
      </c>
      <c r="V8" s="42"/>
      <c r="W8" s="42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6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2"/>
      <c r="O9" s="42">
        <v>4</v>
      </c>
      <c r="P9" s="42"/>
      <c r="Q9" s="42"/>
      <c r="R9" s="42"/>
      <c r="S9" s="42"/>
      <c r="T9" s="42"/>
      <c r="U9" s="42"/>
      <c r="V9" s="42"/>
      <c r="W9" s="42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2"/>
      <c r="O10" s="42"/>
      <c r="P10" s="42">
        <v>3</v>
      </c>
      <c r="Q10" s="42"/>
      <c r="R10" s="42"/>
      <c r="S10" s="42"/>
      <c r="T10" s="42"/>
      <c r="U10" s="42"/>
      <c r="V10" s="42"/>
      <c r="W10" s="42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2"/>
      <c r="O11" s="42"/>
      <c r="P11" s="42"/>
      <c r="Q11" s="42">
        <v>9</v>
      </c>
      <c r="R11" s="42"/>
      <c r="S11" s="42"/>
      <c r="T11" s="42"/>
      <c r="U11" s="42"/>
      <c r="V11" s="42"/>
      <c r="W11" s="42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6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2"/>
      <c r="O12" s="42"/>
      <c r="P12" s="42"/>
      <c r="Q12" s="42"/>
      <c r="R12" s="42"/>
      <c r="S12" s="42">
        <v>4</v>
      </c>
      <c r="T12" s="42"/>
      <c r="U12" s="42"/>
      <c r="V12" s="42"/>
      <c r="W12" s="42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6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2"/>
      <c r="O13" s="42"/>
      <c r="P13" s="42"/>
      <c r="Q13" s="42"/>
      <c r="R13" s="42"/>
      <c r="S13" s="42">
        <v>5</v>
      </c>
      <c r="T13" s="42"/>
      <c r="U13" s="42"/>
      <c r="V13" s="42"/>
      <c r="W13" s="42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2"/>
      <c r="O14" s="42"/>
      <c r="P14" s="42"/>
      <c r="Q14" s="42"/>
      <c r="R14" s="42"/>
      <c r="S14" s="42"/>
      <c r="T14" s="42">
        <v>9</v>
      </c>
      <c r="U14" s="42"/>
      <c r="V14" s="42"/>
      <c r="W14" s="42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6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2"/>
      <c r="O15" s="42"/>
      <c r="P15" s="42"/>
      <c r="Q15" s="42"/>
      <c r="R15" s="42"/>
      <c r="S15" s="42"/>
      <c r="T15" s="42"/>
      <c r="U15" s="42">
        <v>1.5</v>
      </c>
      <c r="V15" s="42"/>
      <c r="W15" s="42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6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2"/>
      <c r="O16" s="42"/>
      <c r="P16" s="42"/>
      <c r="Q16" s="42"/>
      <c r="R16" s="42"/>
      <c r="S16" s="42"/>
      <c r="T16" s="42"/>
      <c r="U16" s="42">
        <v>4</v>
      </c>
      <c r="V16" s="42">
        <v>4</v>
      </c>
      <c r="W16" s="42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6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2"/>
      <c r="O17" s="42"/>
      <c r="P17" s="42"/>
      <c r="Q17" s="42"/>
      <c r="R17" s="42"/>
      <c r="S17" s="42"/>
      <c r="T17" s="42"/>
      <c r="U17" s="42"/>
      <c r="V17" s="42">
        <v>2</v>
      </c>
      <c r="W17" s="42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6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2"/>
      <c r="O18" s="42"/>
      <c r="P18" s="42"/>
      <c r="Q18" s="42"/>
      <c r="R18" s="42"/>
      <c r="S18" s="42"/>
      <c r="T18" s="42"/>
      <c r="U18" s="42"/>
      <c r="V18" s="42">
        <v>1</v>
      </c>
      <c r="W18" s="4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2"/>
      <c r="O19" s="42"/>
      <c r="P19" s="42"/>
      <c r="Q19" s="42"/>
      <c r="R19" s="42"/>
      <c r="S19" s="42"/>
      <c r="T19" s="42"/>
      <c r="U19" s="42"/>
      <c r="V19" s="42">
        <v>1</v>
      </c>
      <c r="W19" s="4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2"/>
      <c r="O20" s="42"/>
      <c r="P20" s="42"/>
      <c r="Q20" s="42"/>
      <c r="R20" s="42"/>
      <c r="S20" s="42"/>
      <c r="T20" s="42"/>
      <c r="U20" s="42"/>
      <c r="V20" s="42">
        <v>1</v>
      </c>
      <c r="W20" s="4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6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6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6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6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6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6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43" t="s">
        <v>5</v>
      </c>
      <c r="C32" s="9" t="s">
        <v>37</v>
      </c>
      <c r="D32" s="4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6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6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25" zoomScaleNormal="25" workbookViewId="0">
      <pane xSplit="3" topLeftCell="D1" activePane="topRight" state="frozen"/>
      <selection pane="topRight" activeCell="B14" sqref="B14: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6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5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6">
        <v>4</v>
      </c>
      <c r="B10" s="47" t="s">
        <v>6</v>
      </c>
      <c r="C10" s="47" t="s">
        <v>41</v>
      </c>
      <c r="D10" s="48">
        <v>2.5</v>
      </c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6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6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6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6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6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6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6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6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6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6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47" t="s">
        <v>6</v>
      </c>
      <c r="C29" s="47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6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6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6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6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6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6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6">
        <v>38</v>
      </c>
      <c r="B44" s="47" t="s">
        <v>6</v>
      </c>
      <c r="C44" s="47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47" t="s">
        <v>6</v>
      </c>
      <c r="C45" s="47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47" t="s">
        <v>6</v>
      </c>
      <c r="C46" s="47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47" t="s">
        <v>6</v>
      </c>
      <c r="C49" s="47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="25" zoomScaleNormal="25" workbookViewId="0">
      <pane xSplit="3" topLeftCell="D1" activePane="topRight" state="frozen"/>
      <selection pane="topRight" activeCell="B59" sqref="B59:C5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6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6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6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6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6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6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6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6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6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6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6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6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6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6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6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6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6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6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6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6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6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6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6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6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6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6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6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6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6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6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6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6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9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6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6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6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6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6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6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6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6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6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6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6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6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6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6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zoomScale="25" zoomScaleNormal="25" workbookViewId="0">
      <pane xSplit="3" topLeftCell="D1" activePane="topRight" state="frozen"/>
      <selection pane="topRight" activeCell="B45" sqref="B4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6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6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6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6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6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6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6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6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6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6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6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6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6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6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6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6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6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0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6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6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6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6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6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6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6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6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6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6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6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6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6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6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zoomScale="25" zoomScaleNormal="25" workbookViewId="0">
      <pane xSplit="3" topLeftCell="D1" activePane="topRight" state="frozen"/>
      <selection pane="topRight" activeCell="B25" sqref="B2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6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6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6">
        <v>6</v>
      </c>
      <c r="B12" s="10" t="s">
        <v>5</v>
      </c>
      <c r="C12" s="14" t="s">
        <v>192</v>
      </c>
      <c r="D12" s="7"/>
      <c r="E12" s="7">
        <v>1</v>
      </c>
      <c r="F12" s="7"/>
      <c r="G12" s="5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6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6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6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6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6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6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6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6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6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6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6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6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6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6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6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6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6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6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1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6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6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6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6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6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6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6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6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25" zoomScaleNormal="25" workbookViewId="0">
      <pane xSplit="3" topLeftCell="D1" activePane="topRight" state="frozen"/>
      <selection pane="topRight" activeCell="C67" sqref="C6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6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6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6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6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6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6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6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6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6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6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6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6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6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6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6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6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6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6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6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6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6">
        <v>37</v>
      </c>
      <c r="B43" s="52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6">
        <v>38</v>
      </c>
      <c r="B44" s="52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52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6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6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6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6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6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6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6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6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6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6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6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6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6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25" zoomScaleNormal="25" workbookViewId="0">
      <pane xSplit="3" topLeftCell="D1" activePane="topRight" state="frozen"/>
      <selection pane="topRight" activeCell="C14" sqref="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6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6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6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296</v>
      </c>
      <c r="C13" s="10" t="s">
        <v>301</v>
      </c>
      <c r="D13" s="7"/>
      <c r="E13" s="7"/>
      <c r="F13" s="50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6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6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6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6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6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6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6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6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6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6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6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6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6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6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6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6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6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6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6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6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6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6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6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6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6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6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6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6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6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6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6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6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6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6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6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6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6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6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6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6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6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6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6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6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6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49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6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6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6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topLeftCell="A7" zoomScale="85" zoomScaleNormal="85" workbookViewId="0">
      <pane xSplit="3" topLeftCell="D1" activePane="topRight" state="frozen"/>
      <selection pane="topRight" activeCell="C7" sqref="C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275</v>
      </c>
      <c r="C7" s="14" t="s">
        <v>378</v>
      </c>
      <c r="D7" s="13">
        <v>0.5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0.5</v>
      </c>
    </row>
    <row r="8" spans="1:35" x14ac:dyDescent="0.25">
      <c r="A8" s="26">
        <v>2</v>
      </c>
      <c r="B8" s="10" t="s">
        <v>277</v>
      </c>
      <c r="C8" s="14" t="s">
        <v>389</v>
      </c>
      <c r="D8" s="7">
        <v>0.5</v>
      </c>
      <c r="E8" s="7"/>
      <c r="F8" s="7"/>
      <c r="G8" s="7">
        <v>3</v>
      </c>
      <c r="H8" s="7"/>
      <c r="I8" s="7"/>
      <c r="J8" s="7"/>
      <c r="K8" s="7">
        <v>1</v>
      </c>
      <c r="L8" s="7">
        <v>2</v>
      </c>
      <c r="M8" s="7"/>
      <c r="N8" s="7"/>
      <c r="O8" s="7"/>
      <c r="P8" s="7"/>
      <c r="Q8" s="7"/>
      <c r="R8" s="7"/>
      <c r="S8" s="7">
        <v>0.5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2</v>
      </c>
      <c r="AG8" s="7"/>
      <c r="AH8" s="7"/>
      <c r="AI8" s="2">
        <f t="shared" si="0"/>
        <v>9</v>
      </c>
    </row>
    <row r="9" spans="1:35" x14ac:dyDescent="0.25">
      <c r="A9" s="26">
        <v>3</v>
      </c>
      <c r="B9" s="10" t="s">
        <v>133</v>
      </c>
      <c r="C9" s="14" t="s">
        <v>391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10" t="s">
        <v>133</v>
      </c>
      <c r="C10" s="14" t="s">
        <v>390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10" t="s">
        <v>133</v>
      </c>
      <c r="C11" s="9" t="s">
        <v>392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10" t="s">
        <v>133</v>
      </c>
      <c r="C12" s="9" t="s">
        <v>393</v>
      </c>
      <c r="D12" s="7">
        <v>1.5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1.5</v>
      </c>
    </row>
    <row r="13" spans="1:35" x14ac:dyDescent="0.25">
      <c r="A13" s="26">
        <v>7</v>
      </c>
      <c r="B13" s="10" t="s">
        <v>133</v>
      </c>
      <c r="C13" s="6" t="s">
        <v>394</v>
      </c>
      <c r="D13" s="7">
        <v>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1.5</v>
      </c>
    </row>
    <row r="14" spans="1:35" x14ac:dyDescent="0.25">
      <c r="A14" s="26">
        <v>8</v>
      </c>
      <c r="B14" s="10" t="s">
        <v>133</v>
      </c>
      <c r="C14" s="6" t="s">
        <v>395</v>
      </c>
      <c r="D14" s="7">
        <v>1</v>
      </c>
      <c r="E14" s="7"/>
      <c r="F14" s="7">
        <v>0.5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1.5</v>
      </c>
    </row>
    <row r="15" spans="1:35" x14ac:dyDescent="0.25">
      <c r="A15" s="26">
        <v>9</v>
      </c>
      <c r="B15" s="10" t="s">
        <v>259</v>
      </c>
      <c r="C15" s="10" t="s">
        <v>385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213</v>
      </c>
      <c r="C16" s="8" t="s">
        <v>214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</v>
      </c>
    </row>
    <row r="17" spans="1:35" x14ac:dyDescent="0.25">
      <c r="A17" s="26">
        <v>11</v>
      </c>
      <c r="B17" s="8" t="s">
        <v>213</v>
      </c>
      <c r="C17" s="9" t="s">
        <v>263</v>
      </c>
      <c r="D17" s="7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133</v>
      </c>
      <c r="C18" s="14" t="s">
        <v>391</v>
      </c>
      <c r="D18" s="7"/>
      <c r="E18" s="7">
        <v>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10" t="s">
        <v>275</v>
      </c>
      <c r="C19" s="14" t="s">
        <v>369</v>
      </c>
      <c r="D19" s="7"/>
      <c r="E19" s="7">
        <v>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6">
        <v>14</v>
      </c>
      <c r="B20" s="10" t="s">
        <v>133</v>
      </c>
      <c r="C20" s="9" t="s">
        <v>396</v>
      </c>
      <c r="D20" s="7"/>
      <c r="E20" s="7"/>
      <c r="F20" s="7">
        <v>0.5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133</v>
      </c>
      <c r="C21" s="6" t="s">
        <v>397</v>
      </c>
      <c r="D21" s="7"/>
      <c r="E21" s="7"/>
      <c r="F21" s="7">
        <v>0.5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6">
        <v>16</v>
      </c>
      <c r="B22" s="10" t="s">
        <v>133</v>
      </c>
      <c r="C22" s="6" t="s">
        <v>398</v>
      </c>
      <c r="D22" s="7"/>
      <c r="E22" s="7"/>
      <c r="F22" s="7">
        <v>0.5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10" t="s">
        <v>277</v>
      </c>
      <c r="C23" s="14" t="s">
        <v>399</v>
      </c>
      <c r="D23" s="7"/>
      <c r="E23" s="7"/>
      <c r="F23" s="7">
        <v>7</v>
      </c>
      <c r="G23" s="7">
        <v>3</v>
      </c>
      <c r="H23" s="7"/>
      <c r="I23" s="7"/>
      <c r="J23" s="7"/>
      <c r="K23" s="7"/>
      <c r="L23" s="7"/>
      <c r="M23" s="7"/>
      <c r="N23" s="7"/>
      <c r="O23" s="7"/>
      <c r="P23" s="7"/>
      <c r="Q23" s="7">
        <v>3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14</v>
      </c>
    </row>
    <row r="24" spans="1:35" x14ac:dyDescent="0.25">
      <c r="A24" s="26">
        <v>18</v>
      </c>
      <c r="B24" s="10" t="s">
        <v>295</v>
      </c>
      <c r="C24" s="14" t="s">
        <v>299</v>
      </c>
      <c r="D24" s="7"/>
      <c r="E24" s="7"/>
      <c r="F24" s="7">
        <v>2</v>
      </c>
      <c r="G24" s="7">
        <v>1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5</v>
      </c>
    </row>
    <row r="25" spans="1:35" x14ac:dyDescent="0.25">
      <c r="A25" s="26">
        <v>19</v>
      </c>
      <c r="B25" s="10" t="s">
        <v>277</v>
      </c>
      <c r="C25" s="14" t="s">
        <v>400</v>
      </c>
      <c r="D25" s="7"/>
      <c r="E25" s="7"/>
      <c r="F25" s="7"/>
      <c r="G25" s="7"/>
      <c r="H25" s="7"/>
      <c r="I25" s="7"/>
      <c r="J25" s="7">
        <v>1.5</v>
      </c>
      <c r="K25" s="7"/>
      <c r="L25" s="7"/>
      <c r="M25" s="7"/>
      <c r="N25" s="7"/>
      <c r="O25" s="7"/>
      <c r="P25" s="7"/>
      <c r="Q25" s="7"/>
      <c r="R25" s="7"/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2.5</v>
      </c>
    </row>
    <row r="26" spans="1:35" x14ac:dyDescent="0.25">
      <c r="A26" s="26">
        <v>20</v>
      </c>
      <c r="B26" s="10" t="s">
        <v>277</v>
      </c>
      <c r="C26" s="14" t="s">
        <v>388</v>
      </c>
      <c r="D26" s="7"/>
      <c r="E26" s="7"/>
      <c r="F26" s="7"/>
      <c r="G26" s="7">
        <v>0.5</v>
      </c>
      <c r="H26" s="7"/>
      <c r="I26" s="7"/>
      <c r="J26" s="7">
        <v>3</v>
      </c>
      <c r="K26" s="7"/>
      <c r="L26" s="7">
        <v>2</v>
      </c>
      <c r="M26" s="7"/>
      <c r="N26" s="7"/>
      <c r="O26" s="7"/>
      <c r="P26" s="7"/>
      <c r="Q26" s="7"/>
      <c r="R26" s="7"/>
      <c r="S26" s="7">
        <v>0.5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>
        <v>1</v>
      </c>
      <c r="AG26" s="7"/>
      <c r="AH26" s="7"/>
      <c r="AI26" s="2">
        <f t="shared" si="0"/>
        <v>7</v>
      </c>
    </row>
    <row r="27" spans="1:35" x14ac:dyDescent="0.25">
      <c r="A27" s="26">
        <v>21</v>
      </c>
      <c r="B27" s="10" t="s">
        <v>277</v>
      </c>
      <c r="C27" s="14" t="s">
        <v>401</v>
      </c>
      <c r="D27" s="7"/>
      <c r="E27" s="7"/>
      <c r="F27" s="7"/>
      <c r="G27" s="7">
        <v>1.5</v>
      </c>
      <c r="H27" s="7"/>
      <c r="I27" s="7"/>
      <c r="J27" s="7">
        <v>0.5</v>
      </c>
      <c r="K27" s="7"/>
      <c r="L27" s="7">
        <v>2</v>
      </c>
      <c r="M27" s="7"/>
      <c r="N27" s="7"/>
      <c r="O27" s="7"/>
      <c r="P27" s="7"/>
      <c r="Q27" s="7"/>
      <c r="R27" s="7"/>
      <c r="S27" s="7">
        <v>0.5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4.5</v>
      </c>
    </row>
    <row r="28" spans="1:35" x14ac:dyDescent="0.25">
      <c r="A28" s="26">
        <v>22</v>
      </c>
      <c r="B28" s="10" t="s">
        <v>295</v>
      </c>
      <c r="C28" s="14" t="s">
        <v>300</v>
      </c>
      <c r="D28" s="7"/>
      <c r="E28" s="7"/>
      <c r="F28" s="7"/>
      <c r="G28" s="7"/>
      <c r="H28" s="7"/>
      <c r="I28" s="7"/>
      <c r="J28" s="7">
        <v>3</v>
      </c>
      <c r="K28" s="7">
        <v>3</v>
      </c>
      <c r="L28" s="7">
        <v>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8</v>
      </c>
    </row>
    <row r="29" spans="1:35" x14ac:dyDescent="0.25">
      <c r="A29" s="26">
        <v>23</v>
      </c>
      <c r="B29" s="10" t="s">
        <v>295</v>
      </c>
      <c r="C29" s="14" t="s">
        <v>402</v>
      </c>
      <c r="D29" s="7"/>
      <c r="E29" s="7"/>
      <c r="F29" s="7"/>
      <c r="G29" s="7"/>
      <c r="H29" s="7"/>
      <c r="I29" s="7"/>
      <c r="J29" s="7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10" t="s">
        <v>295</v>
      </c>
      <c r="C30" s="14" t="s">
        <v>302</v>
      </c>
      <c r="D30" s="7"/>
      <c r="E30" s="7"/>
      <c r="F30" s="7"/>
      <c r="G30" s="7"/>
      <c r="H30" s="7"/>
      <c r="I30" s="7"/>
      <c r="J30" s="7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295</v>
      </c>
      <c r="C31" s="14" t="s">
        <v>335</v>
      </c>
      <c r="D31" s="7"/>
      <c r="E31" s="7"/>
      <c r="F31" s="7"/>
      <c r="G31" s="7"/>
      <c r="H31" s="7"/>
      <c r="I31" s="7"/>
      <c r="J31" s="7"/>
      <c r="K31" s="7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10" t="s">
        <v>295</v>
      </c>
      <c r="C32" s="14" t="s">
        <v>301</v>
      </c>
      <c r="D32" s="7"/>
      <c r="E32" s="7"/>
      <c r="F32" s="7"/>
      <c r="G32" s="7"/>
      <c r="H32" s="7"/>
      <c r="I32" s="7"/>
      <c r="J32" s="7"/>
      <c r="K32" s="7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9" t="s">
        <v>130</v>
      </c>
      <c r="C33" s="10" t="s">
        <v>182</v>
      </c>
      <c r="D33" s="7"/>
      <c r="E33" s="7"/>
      <c r="F33" s="7"/>
      <c r="G33" s="7"/>
      <c r="H33" s="7"/>
      <c r="I33" s="7"/>
      <c r="J33" s="7"/>
      <c r="K33" s="7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318</v>
      </c>
      <c r="C34" s="8" t="s">
        <v>403</v>
      </c>
      <c r="D34" s="7"/>
      <c r="E34" s="7"/>
      <c r="F34" s="7"/>
      <c r="G34" s="7"/>
      <c r="H34" s="7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356</v>
      </c>
      <c r="C35" s="8" t="s">
        <v>360</v>
      </c>
      <c r="D35" s="7"/>
      <c r="E35" s="7"/>
      <c r="F35" s="7"/>
      <c r="G35" s="7"/>
      <c r="H35" s="7"/>
      <c r="I35" s="7"/>
      <c r="J35" s="7"/>
      <c r="K35" s="7"/>
      <c r="L35" s="7"/>
      <c r="M35" s="7">
        <v>11</v>
      </c>
      <c r="N35" s="7">
        <v>4</v>
      </c>
      <c r="O35" s="7"/>
      <c r="P35" s="7"/>
      <c r="Q35" s="7"/>
      <c r="R35" s="7">
        <v>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17</v>
      </c>
    </row>
    <row r="36" spans="1:35" x14ac:dyDescent="0.25">
      <c r="A36" s="26">
        <v>30</v>
      </c>
      <c r="B36" s="8" t="s">
        <v>356</v>
      </c>
      <c r="C36" s="9" t="s">
        <v>404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4</v>
      </c>
      <c r="O36" s="7"/>
      <c r="P36" s="7"/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4.5</v>
      </c>
    </row>
    <row r="37" spans="1:35" x14ac:dyDescent="0.25">
      <c r="A37" s="26">
        <v>31</v>
      </c>
      <c r="B37" s="8" t="s">
        <v>356</v>
      </c>
      <c r="C37" s="9" t="s">
        <v>405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3</v>
      </c>
      <c r="O37" s="7"/>
      <c r="P37" s="7"/>
      <c r="Q37" s="7">
        <v>5</v>
      </c>
      <c r="R37" s="7">
        <v>3</v>
      </c>
      <c r="S37" s="7"/>
      <c r="T37" s="7"/>
      <c r="U37" s="7"/>
      <c r="V37" s="7"/>
      <c r="W37" s="7"/>
      <c r="X37" s="7"/>
      <c r="Y37" s="7"/>
      <c r="Z37" s="7"/>
      <c r="AA37" s="7">
        <v>1.5</v>
      </c>
      <c r="AB37" s="7"/>
      <c r="AC37" s="7"/>
      <c r="AD37" s="7"/>
      <c r="AE37" s="7"/>
      <c r="AF37" s="7"/>
      <c r="AG37" s="7"/>
      <c r="AH37" s="7"/>
      <c r="AI37" s="2">
        <f t="shared" si="0"/>
        <v>12.5</v>
      </c>
    </row>
    <row r="38" spans="1:35" x14ac:dyDescent="0.25">
      <c r="A38" s="26">
        <v>32</v>
      </c>
      <c r="B38" s="8" t="s">
        <v>356</v>
      </c>
      <c r="C38" s="9" t="s">
        <v>358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1.5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2.5</v>
      </c>
    </row>
    <row r="39" spans="1:35" x14ac:dyDescent="0.25">
      <c r="A39" s="26">
        <v>33</v>
      </c>
      <c r="B39" s="8" t="s">
        <v>356</v>
      </c>
      <c r="C39" s="9" t="s">
        <v>406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356</v>
      </c>
      <c r="C40" s="10" t="s">
        <v>407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3</v>
      </c>
      <c r="S40" s="11">
        <v>2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</v>
      </c>
    </row>
    <row r="41" spans="1:35" x14ac:dyDescent="0.25">
      <c r="A41" s="26">
        <v>35</v>
      </c>
      <c r="B41" s="10" t="s">
        <v>277</v>
      </c>
      <c r="C41" s="10" t="s">
        <v>408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6">
        <v>36</v>
      </c>
      <c r="B42" s="8" t="s">
        <v>318</v>
      </c>
      <c r="C42" s="10" t="s">
        <v>409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2.5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2.5</v>
      </c>
    </row>
    <row r="43" spans="1:35" x14ac:dyDescent="0.25">
      <c r="A43" s="26">
        <v>37</v>
      </c>
      <c r="B43" s="47" t="s">
        <v>213</v>
      </c>
      <c r="C43" s="10" t="s">
        <v>410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</v>
      </c>
      <c r="T43" s="11">
        <v>2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6">
        <v>38</v>
      </c>
      <c r="B44" s="10" t="s">
        <v>411</v>
      </c>
      <c r="C44" s="10" t="s">
        <v>412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3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8" t="s">
        <v>318</v>
      </c>
      <c r="C45" s="10" t="s">
        <v>413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1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8" t="s">
        <v>318</v>
      </c>
      <c r="C46" s="10" t="s">
        <v>414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318</v>
      </c>
      <c r="C47" s="10" t="s">
        <v>415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1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8" t="s">
        <v>318</v>
      </c>
      <c r="C48" s="10" t="s">
        <v>416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411</v>
      </c>
      <c r="C49" s="10" t="s">
        <v>417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275</v>
      </c>
      <c r="C50" s="10" t="s">
        <v>418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49"/>
      <c r="U50" s="11">
        <v>1.5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419</v>
      </c>
      <c r="C51" s="10" t="s">
        <v>420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1.5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421</v>
      </c>
      <c r="C52" s="10" t="s">
        <v>422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>
        <v>3</v>
      </c>
      <c r="V52" s="11"/>
      <c r="W52" s="11"/>
      <c r="X52" s="11">
        <v>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8</v>
      </c>
    </row>
    <row r="53" spans="1:35" x14ac:dyDescent="0.25">
      <c r="A53" s="26">
        <v>47</v>
      </c>
      <c r="B53" s="10" t="s">
        <v>423</v>
      </c>
      <c r="C53" s="10" t="s">
        <v>424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4</v>
      </c>
      <c r="Y53" s="11">
        <v>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8</v>
      </c>
    </row>
    <row r="54" spans="1:35" x14ac:dyDescent="0.25">
      <c r="A54" s="26">
        <v>48</v>
      </c>
      <c r="B54" s="14" t="s">
        <v>572</v>
      </c>
      <c r="C54" s="10" t="s">
        <v>425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5</v>
      </c>
    </row>
    <row r="55" spans="1:35" x14ac:dyDescent="0.25">
      <c r="A55" s="26">
        <v>49</v>
      </c>
      <c r="B55" s="10" t="s">
        <v>321</v>
      </c>
      <c r="C55" s="10" t="s">
        <v>426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</v>
      </c>
    </row>
    <row r="56" spans="1:35" x14ac:dyDescent="0.25">
      <c r="A56" s="26">
        <v>50</v>
      </c>
      <c r="B56" s="10" t="s">
        <v>277</v>
      </c>
      <c r="C56" s="10" t="s">
        <v>427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5</v>
      </c>
      <c r="AA56" s="11">
        <v>0.5</v>
      </c>
      <c r="AB56" s="11"/>
      <c r="AC56" s="11"/>
      <c r="AD56" s="11"/>
      <c r="AE56" s="11"/>
      <c r="AF56" s="11"/>
      <c r="AG56" s="11"/>
      <c r="AH56" s="11"/>
      <c r="AI56" s="2">
        <f t="shared" si="0"/>
        <v>5.5</v>
      </c>
    </row>
    <row r="57" spans="1:35" x14ac:dyDescent="0.25">
      <c r="A57" s="26">
        <v>51</v>
      </c>
      <c r="B57" s="10" t="s">
        <v>277</v>
      </c>
      <c r="C57" s="14" t="s">
        <v>317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v>1</v>
      </c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8" t="s">
        <v>249</v>
      </c>
      <c r="C58" s="14" t="s">
        <v>428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v>2</v>
      </c>
      <c r="AA58" s="11">
        <v>0.5</v>
      </c>
      <c r="AB58" s="11"/>
      <c r="AC58" s="11"/>
      <c r="AD58" s="11"/>
      <c r="AE58" s="11"/>
      <c r="AF58" s="11"/>
      <c r="AG58" s="11"/>
      <c r="AH58" s="11"/>
      <c r="AI58" s="2">
        <f t="shared" si="0"/>
        <v>2.5</v>
      </c>
    </row>
    <row r="59" spans="1:35" x14ac:dyDescent="0.25">
      <c r="A59" s="26">
        <v>53</v>
      </c>
      <c r="B59" s="10" t="s">
        <v>277</v>
      </c>
      <c r="C59" s="14" t="s">
        <v>319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4</v>
      </c>
      <c r="AB59" s="11">
        <v>2</v>
      </c>
      <c r="AC59" s="11"/>
      <c r="AD59" s="11"/>
      <c r="AE59" s="11"/>
      <c r="AF59" s="11"/>
      <c r="AG59" s="11"/>
      <c r="AH59" s="11"/>
      <c r="AI59" s="2">
        <f t="shared" si="0"/>
        <v>6</v>
      </c>
    </row>
    <row r="60" spans="1:35" x14ac:dyDescent="0.25">
      <c r="A60" s="26">
        <v>54</v>
      </c>
      <c r="B60" s="10" t="s">
        <v>277</v>
      </c>
      <c r="C60" s="14" t="s">
        <v>330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8" t="s">
        <v>249</v>
      </c>
      <c r="C61" s="14" t="s">
        <v>251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429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0.5</v>
      </c>
      <c r="AB62" s="11"/>
      <c r="AC62" s="11"/>
      <c r="AD62" s="11"/>
      <c r="AE62" s="11"/>
      <c r="AF62" s="11"/>
      <c r="AG62" s="11"/>
      <c r="AH62" s="11"/>
      <c r="AI62" s="2">
        <f t="shared" si="0"/>
        <v>0.5</v>
      </c>
    </row>
    <row r="63" spans="1:35" x14ac:dyDescent="0.25">
      <c r="A63" s="26">
        <v>57</v>
      </c>
      <c r="B63" s="10" t="s">
        <v>277</v>
      </c>
      <c r="C63" s="10" t="s">
        <v>430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4" t="s">
        <v>431</v>
      </c>
      <c r="C64" s="10" t="s">
        <v>432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>
        <v>2</v>
      </c>
      <c r="AH64" s="11">
        <v>2</v>
      </c>
      <c r="AI64" s="2">
        <f t="shared" si="0"/>
        <v>5</v>
      </c>
    </row>
    <row r="65" spans="1:35" x14ac:dyDescent="0.25">
      <c r="A65" s="26">
        <v>59</v>
      </c>
      <c r="B65" s="10" t="s">
        <v>433</v>
      </c>
      <c r="C65" s="10" t="s">
        <v>434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2</v>
      </c>
      <c r="AC65" s="11"/>
      <c r="AD65" s="11"/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8" t="s">
        <v>31</v>
      </c>
      <c r="C66" s="9" t="s">
        <v>435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>
        <v>1</v>
      </c>
      <c r="AG66" s="11"/>
      <c r="AH66" s="11"/>
      <c r="AI66" s="2">
        <f t="shared" si="0"/>
        <v>2</v>
      </c>
    </row>
    <row r="67" spans="1:35" x14ac:dyDescent="0.25">
      <c r="A67" s="26">
        <v>61</v>
      </c>
      <c r="B67" s="10" t="s">
        <v>133</v>
      </c>
      <c r="C67" s="14" t="s">
        <v>436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0.2</v>
      </c>
      <c r="AC67" s="11"/>
      <c r="AD67" s="11"/>
      <c r="AE67" s="11">
        <v>0.5</v>
      </c>
      <c r="AF67" s="11"/>
      <c r="AG67" s="11"/>
      <c r="AH67" s="11"/>
      <c r="AI67" s="2">
        <f t="shared" si="0"/>
        <v>0.7</v>
      </c>
    </row>
    <row r="68" spans="1:35" x14ac:dyDescent="0.25">
      <c r="A68" s="26">
        <v>62</v>
      </c>
      <c r="B68" s="10" t="s">
        <v>133</v>
      </c>
      <c r="C68" s="10" t="s">
        <v>188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0.3</v>
      </c>
      <c r="AC68" s="11"/>
      <c r="AD68" s="11"/>
      <c r="AE68" s="11"/>
      <c r="AF68" s="11"/>
      <c r="AG68" s="11"/>
      <c r="AH68" s="11"/>
      <c r="AI68" s="2">
        <f t="shared" si="0"/>
        <v>0.3</v>
      </c>
    </row>
    <row r="69" spans="1:35" x14ac:dyDescent="0.25">
      <c r="A69" s="26">
        <v>63</v>
      </c>
      <c r="B69" s="10" t="s">
        <v>133</v>
      </c>
      <c r="C69" s="10" t="s">
        <v>183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0.2</v>
      </c>
      <c r="AC69" s="11"/>
      <c r="AD69" s="11"/>
      <c r="AE69" s="11"/>
      <c r="AF69" s="11"/>
      <c r="AG69" s="11"/>
      <c r="AH69" s="11"/>
      <c r="AI69" s="2">
        <f t="shared" si="0"/>
        <v>0.2</v>
      </c>
    </row>
    <row r="70" spans="1:35" x14ac:dyDescent="0.25">
      <c r="A70" s="26">
        <v>64</v>
      </c>
      <c r="B70" s="10" t="s">
        <v>133</v>
      </c>
      <c r="C70" s="10" t="s">
        <v>187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>
        <v>0.5</v>
      </c>
      <c r="AF70" s="11"/>
      <c r="AG70" s="11"/>
      <c r="AH70" s="11"/>
      <c r="AI70" s="2">
        <f t="shared" si="0"/>
        <v>0.8</v>
      </c>
    </row>
    <row r="71" spans="1:35" x14ac:dyDescent="0.25">
      <c r="A71" s="26">
        <v>65</v>
      </c>
      <c r="B71" s="10" t="s">
        <v>381</v>
      </c>
      <c r="C71" s="14" t="s">
        <v>437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/>
      <c r="AI71" s="2">
        <f t="shared" si="0"/>
        <v>2</v>
      </c>
    </row>
    <row r="72" spans="1:35" x14ac:dyDescent="0.25">
      <c r="A72" s="26">
        <v>66</v>
      </c>
      <c r="B72" s="10" t="s">
        <v>438</v>
      </c>
      <c r="C72" s="14" t="s">
        <v>439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>
        <v>1</v>
      </c>
      <c r="AF72" s="11"/>
      <c r="AG72" s="11"/>
      <c r="AH72" s="11"/>
      <c r="AI72" s="2">
        <f t="shared" si="0"/>
        <v>1</v>
      </c>
    </row>
    <row r="73" spans="1:35" x14ac:dyDescent="0.25">
      <c r="A73" s="26">
        <v>67</v>
      </c>
      <c r="B73" s="10" t="s">
        <v>433</v>
      </c>
      <c r="C73" s="14" t="s">
        <v>440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>
        <v>1</v>
      </c>
      <c r="AF73" s="11"/>
      <c r="AG73" s="11"/>
      <c r="AH73" s="11"/>
      <c r="AI73" s="2">
        <f t="shared" si="0"/>
        <v>1</v>
      </c>
    </row>
    <row r="74" spans="1:35" x14ac:dyDescent="0.25">
      <c r="A74" s="26">
        <v>68</v>
      </c>
      <c r="B74" s="10" t="s">
        <v>441</v>
      </c>
      <c r="C74" s="10" t="s">
        <v>442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>
        <v>1.5</v>
      </c>
      <c r="AF74" s="11">
        <v>1</v>
      </c>
      <c r="AG74" s="11"/>
      <c r="AH74" s="11"/>
      <c r="AI74" s="2">
        <f t="shared" si="0"/>
        <v>2.5</v>
      </c>
    </row>
    <row r="75" spans="1:35" x14ac:dyDescent="0.25">
      <c r="A75" s="26">
        <v>69</v>
      </c>
      <c r="B75" s="10" t="s">
        <v>133</v>
      </c>
      <c r="C75" s="10" t="s">
        <v>443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v>0.5</v>
      </c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10" t="s">
        <v>133</v>
      </c>
      <c r="C76" s="10" t="s">
        <v>203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>
        <v>0.5</v>
      </c>
      <c r="AF76" s="11"/>
      <c r="AG76" s="11"/>
      <c r="AH76" s="11"/>
      <c r="AI76" s="2">
        <f t="shared" si="0"/>
        <v>0.5</v>
      </c>
    </row>
    <row r="77" spans="1:35" x14ac:dyDescent="0.25">
      <c r="A77" s="26">
        <v>71</v>
      </c>
      <c r="B77" s="8" t="s">
        <v>31</v>
      </c>
      <c r="C77" s="14" t="s">
        <v>445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>
        <v>0.5</v>
      </c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8" t="s">
        <v>31</v>
      </c>
      <c r="C78" s="14" t="s">
        <v>446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0.5</v>
      </c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8" t="s">
        <v>31</v>
      </c>
      <c r="C79" s="10" t="s">
        <v>444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>
        <v>0.5</v>
      </c>
      <c r="AF79" s="11"/>
      <c r="AG79" s="11"/>
      <c r="AH79" s="11"/>
      <c r="AI79" s="2">
        <f t="shared" si="0"/>
        <v>0.5</v>
      </c>
    </row>
    <row r="80" spans="1:35" x14ac:dyDescent="0.25">
      <c r="A80" s="26">
        <v>74</v>
      </c>
      <c r="B80" s="10" t="s">
        <v>133</v>
      </c>
      <c r="C80" s="10" t="s">
        <v>200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0.5</v>
      </c>
      <c r="AF80" s="11"/>
      <c r="AG80" s="11"/>
      <c r="AH80" s="11">
        <v>1</v>
      </c>
      <c r="AI80" s="2">
        <f t="shared" si="0"/>
        <v>1.5</v>
      </c>
    </row>
    <row r="81" spans="1:35" x14ac:dyDescent="0.25">
      <c r="A81" s="26">
        <v>75</v>
      </c>
      <c r="B81" s="10" t="s">
        <v>133</v>
      </c>
      <c r="C81" s="10" t="s">
        <v>447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>
        <v>0.5</v>
      </c>
      <c r="AF81" s="11"/>
      <c r="AG81" s="11"/>
      <c r="AH81" s="11"/>
      <c r="AI81" s="2">
        <f t="shared" si="0"/>
        <v>0.5</v>
      </c>
    </row>
    <row r="82" spans="1:35" x14ac:dyDescent="0.25">
      <c r="A82" s="26">
        <v>76</v>
      </c>
      <c r="B82" s="8" t="s">
        <v>31</v>
      </c>
      <c r="C82" s="10" t="s">
        <v>448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1</v>
      </c>
      <c r="AG82" s="11"/>
      <c r="AH82" s="11"/>
      <c r="AI82" s="2">
        <f t="shared" si="0"/>
        <v>1</v>
      </c>
    </row>
    <row r="83" spans="1:35" x14ac:dyDescent="0.25">
      <c r="A83" s="26">
        <v>77</v>
      </c>
      <c r="B83" s="9" t="s">
        <v>31</v>
      </c>
      <c r="C83" s="10" t="s">
        <v>449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>
        <v>1</v>
      </c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450</v>
      </c>
      <c r="C84" s="10" t="s">
        <v>451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>
        <v>2</v>
      </c>
      <c r="AG84" s="11"/>
      <c r="AH84" s="11"/>
      <c r="AI84" s="2">
        <f t="shared" si="0"/>
        <v>2</v>
      </c>
    </row>
    <row r="85" spans="1:35" x14ac:dyDescent="0.25">
      <c r="A85" s="26">
        <v>79</v>
      </c>
      <c r="B85" s="10" t="s">
        <v>275</v>
      </c>
      <c r="C85" s="14" t="s">
        <v>452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2</v>
      </c>
      <c r="AH85" s="11">
        <v>1</v>
      </c>
      <c r="AI85" s="2">
        <f t="shared" si="0"/>
        <v>3</v>
      </c>
    </row>
    <row r="86" spans="1:35" x14ac:dyDescent="0.25">
      <c r="A86" s="26">
        <v>80</v>
      </c>
      <c r="B86" s="10" t="s">
        <v>275</v>
      </c>
      <c r="C86" s="14" t="s">
        <v>453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</v>
      </c>
      <c r="AH86" s="11"/>
      <c r="AI86" s="2">
        <f t="shared" si="0"/>
        <v>2</v>
      </c>
    </row>
    <row r="87" spans="1:35" x14ac:dyDescent="0.25">
      <c r="A87" s="26">
        <v>81</v>
      </c>
      <c r="B87" s="10" t="s">
        <v>6</v>
      </c>
      <c r="C87" s="10" t="s">
        <v>454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3</v>
      </c>
      <c r="AH87" s="11"/>
      <c r="AI87" s="2">
        <f t="shared" si="0"/>
        <v>3</v>
      </c>
    </row>
    <row r="88" spans="1:35" x14ac:dyDescent="0.25">
      <c r="A88" s="26">
        <v>82</v>
      </c>
      <c r="B88" s="10" t="s">
        <v>455</v>
      </c>
      <c r="C88" s="14" t="s">
        <v>456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>
        <v>4</v>
      </c>
      <c r="AI88" s="2">
        <f t="shared" si="0"/>
        <v>4</v>
      </c>
    </row>
    <row r="89" spans="1:35" x14ac:dyDescent="0.25">
      <c r="A89" s="26">
        <v>83</v>
      </c>
      <c r="B89" s="10" t="s">
        <v>450</v>
      </c>
      <c r="C89" s="10" t="s">
        <v>457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>
        <v>1</v>
      </c>
      <c r="AI89" s="2">
        <f t="shared" si="0"/>
        <v>1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0</v>
      </c>
      <c r="J107" s="3">
        <f t="shared" si="1"/>
        <v>11</v>
      </c>
      <c r="K107" s="3">
        <f t="shared" si="1"/>
        <v>9</v>
      </c>
      <c r="L107" s="3">
        <f t="shared" si="1"/>
        <v>9</v>
      </c>
      <c r="M107" s="3">
        <f t="shared" si="1"/>
        <v>11</v>
      </c>
      <c r="N107" s="3">
        <f t="shared" si="1"/>
        <v>11</v>
      </c>
      <c r="O107" s="3">
        <f t="shared" si="1"/>
        <v>0</v>
      </c>
      <c r="P107" s="3">
        <f t="shared" si="1"/>
        <v>0</v>
      </c>
      <c r="Q107" s="3">
        <f t="shared" si="1"/>
        <v>11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0</v>
      </c>
      <c r="W107" s="3">
        <f t="shared" si="1"/>
        <v>0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0</v>
      </c>
      <c r="AD107" s="3">
        <f t="shared" si="1"/>
        <v>0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219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topLeftCell="A39" zoomScale="85" zoomScaleNormal="85" workbookViewId="0">
      <pane xSplit="3" topLeftCell="D1" activePane="topRight" state="frozen"/>
      <selection pane="topRight" activeCell="C15" sqref="C1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450</v>
      </c>
      <c r="C7" s="15" t="s">
        <v>457</v>
      </c>
      <c r="D7" s="13">
        <v>1.5</v>
      </c>
      <c r="E7" s="5"/>
      <c r="F7" s="5"/>
      <c r="G7" s="5">
        <v>1</v>
      </c>
      <c r="H7" s="5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25">
      <c r="A8" s="26">
        <v>2</v>
      </c>
      <c r="B8" s="8" t="s">
        <v>31</v>
      </c>
      <c r="C8" s="9" t="s">
        <v>445</v>
      </c>
      <c r="D8" s="7">
        <v>0.5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25">
      <c r="A9" s="26">
        <v>3</v>
      </c>
      <c r="B9" s="8" t="s">
        <v>31</v>
      </c>
      <c r="C9" s="9" t="s">
        <v>446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8" t="s">
        <v>31</v>
      </c>
      <c r="C10" s="9" t="s">
        <v>444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8" t="s">
        <v>31</v>
      </c>
      <c r="C11" s="9" t="s">
        <v>448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8" t="s">
        <v>31</v>
      </c>
      <c r="C12" s="9" t="s">
        <v>458</v>
      </c>
      <c r="D12" s="7">
        <v>0.5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0.5</v>
      </c>
    </row>
    <row r="13" spans="1:35" x14ac:dyDescent="0.25">
      <c r="A13" s="26">
        <v>7</v>
      </c>
      <c r="B13" s="8" t="s">
        <v>31</v>
      </c>
      <c r="C13" s="9" t="s">
        <v>449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450</v>
      </c>
      <c r="C14" s="9" t="s">
        <v>459</v>
      </c>
      <c r="D14" s="7">
        <v>0.5</v>
      </c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>
        <v>0.7</v>
      </c>
      <c r="AD14" s="7"/>
      <c r="AE14" s="7"/>
      <c r="AF14" s="7"/>
      <c r="AG14" s="7"/>
      <c r="AH14" s="7"/>
      <c r="AI14" s="2">
        <f t="shared" si="0"/>
        <v>2.7</v>
      </c>
    </row>
    <row r="15" spans="1:35" x14ac:dyDescent="0.25">
      <c r="A15" s="26">
        <v>9</v>
      </c>
      <c r="B15" s="10" t="s">
        <v>275</v>
      </c>
      <c r="C15" s="9" t="s">
        <v>452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10" t="s">
        <v>6</v>
      </c>
      <c r="C16" s="8" t="s">
        <v>460</v>
      </c>
      <c r="D16" s="7">
        <v>0.5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10" t="s">
        <v>438</v>
      </c>
      <c r="C17" s="14" t="s">
        <v>439</v>
      </c>
      <c r="D17" s="7">
        <v>2</v>
      </c>
      <c r="E17" s="7"/>
      <c r="F17" s="7"/>
      <c r="G17" s="7">
        <v>0.5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2.5</v>
      </c>
    </row>
    <row r="18" spans="1:35" x14ac:dyDescent="0.25">
      <c r="A18" s="26">
        <v>12</v>
      </c>
      <c r="B18" s="8" t="s">
        <v>441</v>
      </c>
      <c r="C18" s="9" t="s">
        <v>474</v>
      </c>
      <c r="D18" s="7">
        <v>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441</v>
      </c>
      <c r="C19" s="9" t="s">
        <v>461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1.5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25">
      <c r="A20" s="26">
        <v>14</v>
      </c>
      <c r="B20" s="10" t="s">
        <v>450</v>
      </c>
      <c r="C20" s="8" t="s">
        <v>462</v>
      </c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4" t="s">
        <v>277</v>
      </c>
      <c r="C21" s="9" t="s">
        <v>319</v>
      </c>
      <c r="D21" s="7"/>
      <c r="E21" s="7"/>
      <c r="F21" s="7"/>
      <c r="G21" s="7">
        <v>0.5</v>
      </c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1.2</v>
      </c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14" t="s">
        <v>277</v>
      </c>
      <c r="C22" s="8" t="s">
        <v>334</v>
      </c>
      <c r="D22" s="7"/>
      <c r="E22" s="7"/>
      <c r="F22" s="7"/>
      <c r="G22" s="7">
        <v>0.5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8" t="s">
        <v>463</v>
      </c>
      <c r="C23" s="9" t="s">
        <v>465</v>
      </c>
      <c r="D23" s="7"/>
      <c r="E23" s="7"/>
      <c r="F23" s="7"/>
      <c r="G23" s="7">
        <v>0.5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463</v>
      </c>
      <c r="C24" s="9" t="s">
        <v>466</v>
      </c>
      <c r="D24" s="7"/>
      <c r="E24" s="7"/>
      <c r="F24" s="7"/>
      <c r="G24" s="7">
        <v>0.5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8" t="s">
        <v>463</v>
      </c>
      <c r="C25" s="6" t="s">
        <v>464</v>
      </c>
      <c r="D25" s="7"/>
      <c r="E25" s="7"/>
      <c r="F25" s="7"/>
      <c r="G25" s="7">
        <v>0.5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0.5</v>
      </c>
    </row>
    <row r="26" spans="1:35" x14ac:dyDescent="0.25">
      <c r="A26" s="26">
        <v>20</v>
      </c>
      <c r="B26" s="8" t="s">
        <v>441</v>
      </c>
      <c r="C26" s="9" t="s">
        <v>467</v>
      </c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10" t="s">
        <v>450</v>
      </c>
      <c r="C27" s="9" t="s">
        <v>468</v>
      </c>
      <c r="D27" s="7"/>
      <c r="E27" s="7"/>
      <c r="F27" s="7"/>
      <c r="G27" s="7">
        <v>1</v>
      </c>
      <c r="H27" s="7">
        <v>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10" t="s">
        <v>450</v>
      </c>
      <c r="C28" s="9" t="s">
        <v>469</v>
      </c>
      <c r="D28" s="7"/>
      <c r="E28" s="7"/>
      <c r="F28" s="7"/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277</v>
      </c>
      <c r="C29" s="9" t="s">
        <v>470</v>
      </c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277</v>
      </c>
      <c r="C30" s="6" t="s">
        <v>471</v>
      </c>
      <c r="D30" s="7"/>
      <c r="E30" s="7"/>
      <c r="F30" s="7"/>
      <c r="G30" s="7"/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450</v>
      </c>
      <c r="C31" s="9" t="s">
        <v>472</v>
      </c>
      <c r="D31" s="7"/>
      <c r="E31" s="7"/>
      <c r="F31" s="7"/>
      <c r="G31" s="7"/>
      <c r="H31" s="7">
        <v>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>
        <v>0.3</v>
      </c>
      <c r="AD31" s="7"/>
      <c r="AE31" s="7"/>
      <c r="AF31" s="7"/>
      <c r="AG31" s="7"/>
      <c r="AH31" s="7"/>
      <c r="AI31" s="2">
        <f t="shared" si="0"/>
        <v>1.3</v>
      </c>
    </row>
    <row r="32" spans="1:35" x14ac:dyDescent="0.25">
      <c r="A32" s="26">
        <v>26</v>
      </c>
      <c r="B32" s="8" t="s">
        <v>318</v>
      </c>
      <c r="C32" s="8" t="s">
        <v>473</v>
      </c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8" t="s">
        <v>356</v>
      </c>
      <c r="C33" s="9" t="s">
        <v>357</v>
      </c>
      <c r="D33" s="7"/>
      <c r="E33" s="7"/>
      <c r="F33" s="7"/>
      <c r="G33" s="7"/>
      <c r="H33" s="7">
        <v>1</v>
      </c>
      <c r="I33" s="7">
        <v>3</v>
      </c>
      <c r="J33" s="7"/>
      <c r="K33" s="7"/>
      <c r="L33" s="7"/>
      <c r="M33" s="7"/>
      <c r="N33" s="7"/>
      <c r="O33" s="7"/>
      <c r="P33" s="7">
        <v>2.5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7.5</v>
      </c>
    </row>
    <row r="34" spans="1:35" x14ac:dyDescent="0.25">
      <c r="A34" s="26">
        <v>28</v>
      </c>
      <c r="B34" s="8" t="s">
        <v>318</v>
      </c>
      <c r="C34" s="8" t="s">
        <v>475</v>
      </c>
      <c r="D34" s="7"/>
      <c r="E34" s="7"/>
      <c r="F34" s="7"/>
      <c r="G34" s="7"/>
      <c r="H34" s="7"/>
      <c r="I34" s="7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356</v>
      </c>
      <c r="C35" s="8" t="s">
        <v>407</v>
      </c>
      <c r="D35" s="7"/>
      <c r="E35" s="7"/>
      <c r="F35" s="7"/>
      <c r="G35" s="7"/>
      <c r="H35" s="7"/>
      <c r="I35" s="7">
        <v>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0.5</v>
      </c>
      <c r="AC35" s="7"/>
      <c r="AD35" s="7"/>
      <c r="AE35" s="7"/>
      <c r="AF35" s="7"/>
      <c r="AG35" s="7"/>
      <c r="AH35" s="7"/>
      <c r="AI35" s="2">
        <f t="shared" si="0"/>
        <v>3.5</v>
      </c>
    </row>
    <row r="36" spans="1:35" x14ac:dyDescent="0.25">
      <c r="A36" s="26">
        <v>30</v>
      </c>
      <c r="B36" s="8" t="s">
        <v>476</v>
      </c>
      <c r="C36" s="8" t="s">
        <v>477</v>
      </c>
      <c r="D36" s="7"/>
      <c r="E36" s="7"/>
      <c r="F36" s="7"/>
      <c r="G36" s="7"/>
      <c r="H36" s="7"/>
      <c r="I36" s="7"/>
      <c r="J36" s="7"/>
      <c r="K36" s="7">
        <v>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2</v>
      </c>
    </row>
    <row r="37" spans="1:35" x14ac:dyDescent="0.25">
      <c r="A37" s="26">
        <v>31</v>
      </c>
      <c r="B37" s="8" t="s">
        <v>353</v>
      </c>
      <c r="C37" s="8" t="s">
        <v>354</v>
      </c>
      <c r="D37" s="7"/>
      <c r="E37" s="7"/>
      <c r="F37" s="7"/>
      <c r="G37" s="7"/>
      <c r="H37" s="7"/>
      <c r="I37" s="7"/>
      <c r="J37" s="7"/>
      <c r="K37" s="7">
        <v>7</v>
      </c>
      <c r="L37" s="7"/>
      <c r="M37" s="7"/>
      <c r="N37" s="7">
        <v>11</v>
      </c>
      <c r="O37" s="7">
        <v>0.5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18.5</v>
      </c>
    </row>
    <row r="38" spans="1:35" x14ac:dyDescent="0.25">
      <c r="A38" s="26">
        <v>32</v>
      </c>
      <c r="B38" s="8" t="s">
        <v>353</v>
      </c>
      <c r="C38" s="10" t="s">
        <v>478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>
        <v>3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8" t="s">
        <v>356</v>
      </c>
      <c r="C39" s="10" t="s">
        <v>359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>
        <v>7</v>
      </c>
      <c r="P39" s="11">
        <v>1.5</v>
      </c>
      <c r="Q39" s="11">
        <v>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>
        <v>1</v>
      </c>
      <c r="AF39" s="11"/>
      <c r="AG39" s="11"/>
      <c r="AH39" s="11"/>
      <c r="AI39" s="2">
        <f t="shared" si="0"/>
        <v>12.5</v>
      </c>
    </row>
    <row r="40" spans="1:35" x14ac:dyDescent="0.25">
      <c r="A40" s="26">
        <v>34</v>
      </c>
      <c r="B40" s="10" t="s">
        <v>450</v>
      </c>
      <c r="C40" s="10" t="s">
        <v>479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>
        <v>0.5</v>
      </c>
      <c r="P40" s="11">
        <v>0.5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>
        <v>0.7</v>
      </c>
      <c r="AD40" s="11"/>
      <c r="AE40" s="49"/>
      <c r="AF40" s="11"/>
      <c r="AG40" s="11"/>
      <c r="AH40" s="11"/>
      <c r="AI40" s="2">
        <f t="shared" si="0"/>
        <v>1.7</v>
      </c>
    </row>
    <row r="41" spans="1:35" x14ac:dyDescent="0.25">
      <c r="A41" s="26">
        <v>35</v>
      </c>
      <c r="B41" s="8" t="s">
        <v>356</v>
      </c>
      <c r="C41" s="10" t="s">
        <v>480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2.5</v>
      </c>
      <c r="Q41" s="11"/>
      <c r="R41" s="11">
        <v>3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5.5</v>
      </c>
    </row>
    <row r="42" spans="1:35" x14ac:dyDescent="0.25">
      <c r="A42" s="26">
        <v>36</v>
      </c>
      <c r="B42" s="8" t="s">
        <v>356</v>
      </c>
      <c r="C42" s="10" t="s">
        <v>481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2.5</v>
      </c>
      <c r="Q42" s="11">
        <v>4</v>
      </c>
      <c r="R42" s="11">
        <v>3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9.5</v>
      </c>
    </row>
    <row r="43" spans="1:35" x14ac:dyDescent="0.25">
      <c r="A43" s="26">
        <v>37</v>
      </c>
      <c r="B43" s="10" t="s">
        <v>450</v>
      </c>
      <c r="C43" s="10" t="s">
        <v>482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0.5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>
        <v>0.6</v>
      </c>
      <c r="AC43" s="11"/>
      <c r="AD43" s="11"/>
      <c r="AE43" s="11"/>
      <c r="AF43" s="11"/>
      <c r="AG43" s="11"/>
      <c r="AH43" s="11"/>
      <c r="AI43" s="2">
        <f t="shared" si="0"/>
        <v>1.1000000000000001</v>
      </c>
    </row>
    <row r="44" spans="1:35" x14ac:dyDescent="0.25">
      <c r="A44" s="26">
        <v>38</v>
      </c>
      <c r="B44" s="10" t="s">
        <v>450</v>
      </c>
      <c r="C44" s="10" t="s">
        <v>483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0.5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450</v>
      </c>
      <c r="C45" s="10" t="s">
        <v>484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0.5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8" t="s">
        <v>356</v>
      </c>
      <c r="C46" s="10" t="s">
        <v>485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v>2</v>
      </c>
      <c r="R47" s="11">
        <v>3</v>
      </c>
      <c r="S47" s="11"/>
      <c r="T47" s="11"/>
      <c r="U47" s="11">
        <v>5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10</v>
      </c>
    </row>
    <row r="48" spans="1:35" x14ac:dyDescent="0.25">
      <c r="A48" s="26">
        <v>42</v>
      </c>
      <c r="B48" s="10" t="s">
        <v>487</v>
      </c>
      <c r="C48" s="10" t="s">
        <v>488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>
        <v>1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133</v>
      </c>
      <c r="C49" s="10" t="s">
        <v>201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411</v>
      </c>
      <c r="C50" s="14" t="s">
        <v>489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1.5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133</v>
      </c>
      <c r="C51" s="14" t="s">
        <v>447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0.5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133</v>
      </c>
      <c r="C52" s="14" t="s">
        <v>183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0.5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133</v>
      </c>
      <c r="C53" s="14" t="s">
        <v>490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>
        <v>0.5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4" t="s">
        <v>491</v>
      </c>
      <c r="C54" s="10" t="s">
        <v>492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>
        <v>2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4" t="s">
        <v>277</v>
      </c>
      <c r="C55" s="10" t="s">
        <v>493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>
        <v>1.5</v>
      </c>
      <c r="W55" s="11">
        <v>3</v>
      </c>
      <c r="X55" s="11"/>
      <c r="Y55" s="11">
        <v>1.8</v>
      </c>
      <c r="Z55" s="11"/>
      <c r="AA55" s="11"/>
      <c r="AB55" s="11"/>
      <c r="AC55" s="11"/>
      <c r="AD55" s="11"/>
      <c r="AE55" s="11">
        <v>5</v>
      </c>
      <c r="AF55" s="11">
        <v>2.5</v>
      </c>
      <c r="AG55" s="11"/>
      <c r="AH55" s="11"/>
      <c r="AI55" s="2">
        <f t="shared" si="0"/>
        <v>13.8</v>
      </c>
    </row>
    <row r="56" spans="1:35" x14ac:dyDescent="0.25">
      <c r="A56" s="26">
        <v>50</v>
      </c>
      <c r="B56" s="10" t="s">
        <v>487</v>
      </c>
      <c r="C56" s="10" t="s">
        <v>494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v>1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133</v>
      </c>
      <c r="C57" s="10" t="s">
        <v>200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 t="s">
        <v>431</v>
      </c>
      <c r="C58" s="10" t="s">
        <v>495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>
        <v>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4</v>
      </c>
    </row>
    <row r="59" spans="1:35" x14ac:dyDescent="0.25">
      <c r="A59" s="26">
        <v>53</v>
      </c>
      <c r="B59" s="10" t="s">
        <v>496</v>
      </c>
      <c r="C59" s="14" t="s">
        <v>497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>
        <v>1</v>
      </c>
      <c r="X59" s="11">
        <v>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2</v>
      </c>
    </row>
    <row r="60" spans="1:35" x14ac:dyDescent="0.25">
      <c r="A60" s="26">
        <v>54</v>
      </c>
      <c r="B60" s="8" t="s">
        <v>318</v>
      </c>
      <c r="C60" s="14" t="s">
        <v>499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>
        <v>3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3</v>
      </c>
    </row>
    <row r="61" spans="1:35" x14ac:dyDescent="0.25">
      <c r="A61" s="26">
        <v>55</v>
      </c>
      <c r="B61" s="8" t="s">
        <v>318</v>
      </c>
      <c r="C61" s="10" t="s">
        <v>498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>
        <v>3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8" t="s">
        <v>356</v>
      </c>
      <c r="C62" s="10" t="s">
        <v>358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>
        <v>1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8" t="s">
        <v>356</v>
      </c>
      <c r="C63" s="10" t="s">
        <v>405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>
        <v>0.5</v>
      </c>
      <c r="Y63" s="11"/>
      <c r="Z63" s="11"/>
      <c r="AA63" s="11"/>
      <c r="AB63" s="11">
        <v>0.5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500</v>
      </c>
      <c r="C64" s="10" t="s">
        <v>501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>
        <v>0.5</v>
      </c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0.8</v>
      </c>
    </row>
    <row r="65" spans="1:35" x14ac:dyDescent="0.25">
      <c r="A65" s="26">
        <v>59</v>
      </c>
      <c r="B65" s="10" t="s">
        <v>502</v>
      </c>
      <c r="C65" s="10" t="s">
        <v>503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51">
        <v>0.4</v>
      </c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0.4</v>
      </c>
    </row>
    <row r="66" spans="1:35" x14ac:dyDescent="0.25">
      <c r="A66" s="26">
        <v>60</v>
      </c>
      <c r="B66" s="10" t="s">
        <v>502</v>
      </c>
      <c r="C66" s="10" t="s">
        <v>504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1">
        <v>0.4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0.4</v>
      </c>
    </row>
    <row r="67" spans="1:35" x14ac:dyDescent="0.25">
      <c r="A67" s="26">
        <v>61</v>
      </c>
      <c r="B67" s="8" t="s">
        <v>356</v>
      </c>
      <c r="C67" s="10" t="s">
        <v>405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>
        <v>2.4</v>
      </c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2.4</v>
      </c>
    </row>
    <row r="68" spans="1:35" x14ac:dyDescent="0.25">
      <c r="A68" s="26">
        <v>62</v>
      </c>
      <c r="B68" s="10" t="s">
        <v>505</v>
      </c>
      <c r="C68" s="14" t="s">
        <v>516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1.3</v>
      </c>
      <c r="Z68" s="11"/>
      <c r="AA68" s="11"/>
      <c r="AB68" s="11">
        <v>0.6</v>
      </c>
      <c r="AC68" s="11"/>
      <c r="AD68" s="11">
        <v>0.7</v>
      </c>
      <c r="AE68" s="11"/>
      <c r="AF68" s="11"/>
      <c r="AG68" s="11"/>
      <c r="AH68" s="11"/>
      <c r="AI68" s="2">
        <f t="shared" si="0"/>
        <v>2.5999999999999996</v>
      </c>
    </row>
    <row r="69" spans="1:35" x14ac:dyDescent="0.25">
      <c r="A69" s="26">
        <v>63</v>
      </c>
      <c r="B69" s="10" t="s">
        <v>505</v>
      </c>
      <c r="C69" s="14" t="s">
        <v>517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1.1000000000000001</v>
      </c>
      <c r="Z69" s="11"/>
      <c r="AA69" s="11"/>
      <c r="AB69" s="11">
        <v>0.6</v>
      </c>
      <c r="AC69" s="11"/>
      <c r="AD69" s="11">
        <v>0.9</v>
      </c>
      <c r="AE69" s="11"/>
      <c r="AF69" s="11"/>
      <c r="AG69" s="11"/>
      <c r="AH69" s="11"/>
      <c r="AI69" s="2">
        <f t="shared" si="0"/>
        <v>2.6</v>
      </c>
    </row>
    <row r="70" spans="1:35" x14ac:dyDescent="0.25">
      <c r="A70" s="26">
        <v>64</v>
      </c>
      <c r="B70" s="10" t="s">
        <v>505</v>
      </c>
      <c r="C70" s="14" t="s">
        <v>518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1.3</v>
      </c>
      <c r="Z70" s="11"/>
      <c r="AA70" s="11"/>
      <c r="AB70" s="11">
        <v>0.7</v>
      </c>
      <c r="AC70" s="11"/>
      <c r="AD70" s="11">
        <v>0.8</v>
      </c>
      <c r="AE70" s="11"/>
      <c r="AF70" s="11"/>
      <c r="AG70" s="11"/>
      <c r="AH70" s="11"/>
      <c r="AI70" s="2">
        <f t="shared" si="0"/>
        <v>2.8</v>
      </c>
    </row>
    <row r="71" spans="1:35" x14ac:dyDescent="0.25">
      <c r="A71" s="26">
        <v>65</v>
      </c>
      <c r="B71" s="14" t="s">
        <v>277</v>
      </c>
      <c r="C71" s="10" t="s">
        <v>506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0.4</v>
      </c>
      <c r="AC71" s="11"/>
      <c r="AD71" s="11"/>
      <c r="AE71" s="11"/>
      <c r="AF71" s="11"/>
      <c r="AG71" s="11"/>
      <c r="AH71" s="11"/>
      <c r="AI71" s="2">
        <f t="shared" si="0"/>
        <v>0.4</v>
      </c>
    </row>
    <row r="72" spans="1:35" x14ac:dyDescent="0.25">
      <c r="A72" s="26">
        <v>66</v>
      </c>
      <c r="B72" s="10" t="s">
        <v>450</v>
      </c>
      <c r="C72" s="10" t="s">
        <v>451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>
        <v>0.4</v>
      </c>
      <c r="AC72" s="11"/>
      <c r="AD72" s="11"/>
      <c r="AE72" s="11"/>
      <c r="AF72" s="11"/>
      <c r="AG72" s="11"/>
      <c r="AH72" s="11"/>
      <c r="AI72" s="2">
        <f t="shared" si="0"/>
        <v>0.4</v>
      </c>
    </row>
    <row r="73" spans="1:35" x14ac:dyDescent="0.25">
      <c r="A73" s="26">
        <v>67</v>
      </c>
      <c r="B73" s="10" t="s">
        <v>505</v>
      </c>
      <c r="C73" s="14" t="s">
        <v>519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>
        <v>4.7</v>
      </c>
      <c r="AC73" s="11">
        <v>0.8</v>
      </c>
      <c r="AD73" s="11"/>
      <c r="AE73" s="11"/>
      <c r="AF73" s="11"/>
      <c r="AG73" s="11"/>
      <c r="AH73" s="11"/>
      <c r="AI73" s="2">
        <f t="shared" si="0"/>
        <v>5.5</v>
      </c>
    </row>
    <row r="74" spans="1:35" x14ac:dyDescent="0.25">
      <c r="A74" s="26">
        <v>68</v>
      </c>
      <c r="B74" s="9" t="s">
        <v>507</v>
      </c>
      <c r="C74" s="9" t="s">
        <v>520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0.5</v>
      </c>
      <c r="AD74" s="11"/>
      <c r="AE74" s="11"/>
      <c r="AF74" s="11"/>
      <c r="AG74" s="11"/>
      <c r="AH74" s="11"/>
      <c r="AI74" s="2">
        <f t="shared" si="0"/>
        <v>0.5</v>
      </c>
    </row>
    <row r="75" spans="1:35" x14ac:dyDescent="0.25">
      <c r="A75" s="26">
        <v>69</v>
      </c>
      <c r="B75" s="8" t="s">
        <v>353</v>
      </c>
      <c r="C75" s="10" t="s">
        <v>508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0.5</v>
      </c>
      <c r="AD75" s="11"/>
      <c r="AE75" s="11"/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8" t="s">
        <v>356</v>
      </c>
      <c r="C76" s="10" t="s">
        <v>509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1.8</v>
      </c>
      <c r="AD76" s="11"/>
      <c r="AE76" s="11"/>
      <c r="AF76" s="11"/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10" t="s">
        <v>450</v>
      </c>
      <c r="C77" s="14" t="s">
        <v>511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0.6</v>
      </c>
      <c r="AD77" s="11"/>
      <c r="AE77" s="11"/>
      <c r="AF77" s="11"/>
      <c r="AG77" s="11"/>
      <c r="AH77" s="11"/>
      <c r="AI77" s="2">
        <f t="shared" si="0"/>
        <v>0.6</v>
      </c>
    </row>
    <row r="78" spans="1:35" x14ac:dyDescent="0.25">
      <c r="A78" s="26">
        <v>72</v>
      </c>
      <c r="B78" s="10" t="s">
        <v>450</v>
      </c>
      <c r="C78" s="10" t="s">
        <v>510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>
        <v>0.4</v>
      </c>
      <c r="AD78" s="11"/>
      <c r="AE78" s="11"/>
      <c r="AF78" s="11"/>
      <c r="AG78" s="11"/>
      <c r="AH78" s="11"/>
      <c r="AI78" s="2">
        <f t="shared" si="0"/>
        <v>0.4</v>
      </c>
    </row>
    <row r="79" spans="1:35" x14ac:dyDescent="0.25">
      <c r="A79" s="26">
        <v>73</v>
      </c>
      <c r="B79" s="10" t="s">
        <v>450</v>
      </c>
      <c r="C79" s="10" t="s">
        <v>512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>
        <v>1.5</v>
      </c>
      <c r="AD79" s="11">
        <v>1.3</v>
      </c>
      <c r="AE79" s="11"/>
      <c r="AF79" s="11"/>
      <c r="AG79" s="11"/>
      <c r="AH79" s="11"/>
      <c r="AI79" s="2">
        <f t="shared" si="0"/>
        <v>2.8</v>
      </c>
    </row>
    <row r="80" spans="1:35" x14ac:dyDescent="0.25">
      <c r="A80" s="26">
        <v>74</v>
      </c>
      <c r="B80" s="10" t="s">
        <v>505</v>
      </c>
      <c r="C80" s="14" t="s">
        <v>514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0.6</v>
      </c>
      <c r="AE80" s="11"/>
      <c r="AF80" s="11"/>
      <c r="AG80" s="11"/>
      <c r="AH80" s="11"/>
      <c r="AI80" s="2">
        <f t="shared" si="0"/>
        <v>0.6</v>
      </c>
    </row>
    <row r="81" spans="1:35" x14ac:dyDescent="0.25">
      <c r="A81" s="26">
        <v>75</v>
      </c>
      <c r="B81" s="10" t="s">
        <v>505</v>
      </c>
      <c r="C81" s="14" t="s">
        <v>515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0.5</v>
      </c>
      <c r="AE81" s="11">
        <v>0.6</v>
      </c>
      <c r="AF81" s="11"/>
      <c r="AG81" s="11"/>
      <c r="AH81" s="11"/>
      <c r="AI81" s="2">
        <f t="shared" si="0"/>
        <v>1.1000000000000001</v>
      </c>
    </row>
    <row r="82" spans="1:35" x14ac:dyDescent="0.25">
      <c r="A82" s="26">
        <v>76</v>
      </c>
      <c r="B82" s="10" t="s">
        <v>505</v>
      </c>
      <c r="C82" s="10" t="s">
        <v>513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4.2</v>
      </c>
      <c r="AE82" s="11">
        <v>0.6</v>
      </c>
      <c r="AF82" s="11"/>
      <c r="AG82" s="11"/>
      <c r="AH82" s="11"/>
      <c r="AI82" s="2">
        <f t="shared" si="0"/>
        <v>4.8</v>
      </c>
    </row>
    <row r="83" spans="1:35" x14ac:dyDescent="0.25">
      <c r="A83" s="26">
        <v>77</v>
      </c>
      <c r="B83" s="10" t="s">
        <v>505</v>
      </c>
      <c r="C83" s="10" t="s">
        <v>521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1.2</v>
      </c>
      <c r="AF83" s="11"/>
      <c r="AG83" s="11"/>
      <c r="AH83" s="11"/>
      <c r="AI83" s="2">
        <f t="shared" si="0"/>
        <v>1.2</v>
      </c>
    </row>
    <row r="84" spans="1:35" x14ac:dyDescent="0.25">
      <c r="A84" s="26">
        <v>78</v>
      </c>
      <c r="B84" s="10" t="s">
        <v>450</v>
      </c>
      <c r="C84" s="14" t="s">
        <v>522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>
        <v>0.6</v>
      </c>
      <c r="AF84" s="11">
        <v>0.4</v>
      </c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450</v>
      </c>
      <c r="C85" s="10" t="s">
        <v>523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>
        <v>0.6</v>
      </c>
      <c r="AG85" s="11"/>
      <c r="AH85" s="11"/>
      <c r="AI85" s="2">
        <f t="shared" si="0"/>
        <v>0.6</v>
      </c>
    </row>
    <row r="86" spans="1:35" x14ac:dyDescent="0.25">
      <c r="A86" s="26">
        <v>80</v>
      </c>
      <c r="B86" s="10" t="s">
        <v>450</v>
      </c>
      <c r="C86" s="14" t="s">
        <v>525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>
        <v>2.1</v>
      </c>
      <c r="AG86" s="11"/>
      <c r="AH86" s="11"/>
      <c r="AI86" s="2">
        <f t="shared" si="0"/>
        <v>2.1</v>
      </c>
    </row>
    <row r="87" spans="1:35" x14ac:dyDescent="0.25">
      <c r="A87" s="26">
        <v>81</v>
      </c>
      <c r="B87" s="10" t="s">
        <v>450</v>
      </c>
      <c r="C87" s="14" t="s">
        <v>526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>
        <v>1.5</v>
      </c>
      <c r="AG87" s="11"/>
      <c r="AH87" s="11"/>
      <c r="AI87" s="2">
        <f t="shared" si="0"/>
        <v>1.5</v>
      </c>
    </row>
    <row r="88" spans="1:35" x14ac:dyDescent="0.25">
      <c r="A88" s="26">
        <v>82</v>
      </c>
      <c r="B88" s="10" t="s">
        <v>450</v>
      </c>
      <c r="C88" s="10" t="s">
        <v>524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51">
        <v>1.9</v>
      </c>
      <c r="AG88" s="11"/>
      <c r="AH88" s="11"/>
      <c r="AI88" s="2">
        <f t="shared" si="0"/>
        <v>1.9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0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11</v>
      </c>
      <c r="O107" s="3">
        <f t="shared" si="1"/>
        <v>11</v>
      </c>
      <c r="P107" s="3">
        <f t="shared" si="1"/>
        <v>11</v>
      </c>
      <c r="Q107" s="3">
        <f t="shared" si="1"/>
        <v>11.5</v>
      </c>
      <c r="R107" s="3">
        <f t="shared" si="1"/>
        <v>9</v>
      </c>
      <c r="S107" s="3">
        <f t="shared" si="1"/>
        <v>0</v>
      </c>
      <c r="T107" s="3">
        <f t="shared" si="1"/>
        <v>0</v>
      </c>
      <c r="U107" s="3">
        <f t="shared" si="1"/>
        <v>9</v>
      </c>
      <c r="V107" s="3">
        <f t="shared" si="1"/>
        <v>9</v>
      </c>
      <c r="W107" s="3">
        <f t="shared" si="1"/>
        <v>8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8.9999999999999982</v>
      </c>
      <c r="AF107" s="3">
        <f t="shared" si="1"/>
        <v>9</v>
      </c>
      <c r="AG107" s="3">
        <f t="shared" si="1"/>
        <v>0</v>
      </c>
      <c r="AH107" s="3">
        <f t="shared" si="1"/>
        <v>0</v>
      </c>
      <c r="AI107" s="1">
        <f>SUM(D107:AH107)</f>
        <v>188.5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topLeftCell="A16" zoomScaleNormal="100" workbookViewId="0">
      <pane xSplit="3" topLeftCell="Y1" activePane="topRight" state="frozen"/>
      <selection pane="topRight" activeCell="B41" sqref="B41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4" t="s">
        <v>277</v>
      </c>
      <c r="C7" s="10" t="s">
        <v>528</v>
      </c>
      <c r="D7" s="13"/>
      <c r="E7" s="5">
        <v>2.2999999999999998</v>
      </c>
      <c r="F7" s="5"/>
      <c r="G7" s="5"/>
      <c r="H7" s="5">
        <v>1.5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3.8</v>
      </c>
    </row>
    <row r="8" spans="1:35" x14ac:dyDescent="0.25">
      <c r="A8" s="26">
        <v>2</v>
      </c>
      <c r="B8" s="14" t="s">
        <v>277</v>
      </c>
      <c r="C8" s="6" t="s">
        <v>527</v>
      </c>
      <c r="D8" s="7"/>
      <c r="E8" s="7">
        <v>1.3</v>
      </c>
      <c r="F8" s="7"/>
      <c r="G8" s="7">
        <v>2.1</v>
      </c>
      <c r="H8" s="7">
        <v>3.9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1.3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8.6000000000000014</v>
      </c>
    </row>
    <row r="9" spans="1:35" x14ac:dyDescent="0.25">
      <c r="A9" s="26">
        <v>3</v>
      </c>
      <c r="B9" s="8" t="s">
        <v>353</v>
      </c>
      <c r="C9" s="6" t="s">
        <v>529</v>
      </c>
      <c r="D9" s="7"/>
      <c r="E9" s="7">
        <v>2.2000000000000002</v>
      </c>
      <c r="F9" s="7"/>
      <c r="G9" s="7"/>
      <c r="H9" s="7"/>
      <c r="I9" s="7"/>
      <c r="J9" s="7"/>
      <c r="K9" s="7"/>
      <c r="L9" s="7"/>
      <c r="M9" s="7">
        <v>1.3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>
        <v>1.2</v>
      </c>
      <c r="AH9" s="7"/>
      <c r="AI9" s="2">
        <f t="shared" si="0"/>
        <v>4.7</v>
      </c>
    </row>
    <row r="10" spans="1:35" x14ac:dyDescent="0.25">
      <c r="A10" s="26">
        <v>4</v>
      </c>
      <c r="B10" s="8" t="s">
        <v>531</v>
      </c>
      <c r="C10" s="6" t="s">
        <v>299</v>
      </c>
      <c r="D10" s="7"/>
      <c r="E10" s="7">
        <v>2.4</v>
      </c>
      <c r="F10" s="7">
        <v>1.1000000000000001</v>
      </c>
      <c r="G10" s="7">
        <v>2.1</v>
      </c>
      <c r="H10" s="7"/>
      <c r="I10" s="7">
        <v>0.2</v>
      </c>
      <c r="J10" s="7"/>
      <c r="K10" s="7"/>
      <c r="L10" s="7">
        <v>0.2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6</v>
      </c>
    </row>
    <row r="11" spans="1:35" x14ac:dyDescent="0.25">
      <c r="A11" s="26">
        <v>5</v>
      </c>
      <c r="B11" s="8" t="s">
        <v>531</v>
      </c>
      <c r="C11" s="6" t="s">
        <v>530</v>
      </c>
      <c r="D11" s="7"/>
      <c r="E11" s="7">
        <v>2.8</v>
      </c>
      <c r="F11" s="7">
        <v>1.2</v>
      </c>
      <c r="G11" s="7">
        <v>0.7</v>
      </c>
      <c r="H11" s="7"/>
      <c r="I11" s="7">
        <v>0.2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4.9000000000000004</v>
      </c>
    </row>
    <row r="12" spans="1:35" x14ac:dyDescent="0.25">
      <c r="A12" s="26">
        <v>6</v>
      </c>
      <c r="B12" s="8" t="s">
        <v>353</v>
      </c>
      <c r="C12" s="9" t="s">
        <v>360</v>
      </c>
      <c r="D12" s="7"/>
      <c r="E12" s="7"/>
      <c r="F12" s="7">
        <v>0.3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0.3</v>
      </c>
    </row>
    <row r="13" spans="1:35" x14ac:dyDescent="0.25">
      <c r="A13" s="26">
        <v>7</v>
      </c>
      <c r="B13" s="8" t="s">
        <v>353</v>
      </c>
      <c r="C13" s="6" t="s">
        <v>532</v>
      </c>
      <c r="D13" s="7"/>
      <c r="E13" s="7"/>
      <c r="F13" s="7">
        <v>0.4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0.4</v>
      </c>
    </row>
    <row r="14" spans="1:35" x14ac:dyDescent="0.25">
      <c r="A14" s="26">
        <v>8</v>
      </c>
      <c r="B14" s="10" t="s">
        <v>487</v>
      </c>
      <c r="C14" s="6" t="s">
        <v>494</v>
      </c>
      <c r="D14" s="7"/>
      <c r="E14" s="7"/>
      <c r="F14" s="7">
        <v>0.3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0.3</v>
      </c>
    </row>
    <row r="15" spans="1:35" x14ac:dyDescent="0.25">
      <c r="A15" s="26">
        <v>9</v>
      </c>
      <c r="B15" s="8" t="s">
        <v>441</v>
      </c>
      <c r="C15" s="9" t="s">
        <v>442</v>
      </c>
      <c r="D15" s="7"/>
      <c r="E15" s="7"/>
      <c r="F15" s="7">
        <v>0.5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441</v>
      </c>
      <c r="C16" s="8" t="s">
        <v>461</v>
      </c>
      <c r="D16" s="7"/>
      <c r="E16" s="7"/>
      <c r="F16" s="7">
        <v>0.8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0.8</v>
      </c>
    </row>
    <row r="17" spans="1:35" x14ac:dyDescent="0.25">
      <c r="A17" s="26">
        <v>11</v>
      </c>
      <c r="B17" s="10" t="s">
        <v>505</v>
      </c>
      <c r="C17" s="9" t="s">
        <v>533</v>
      </c>
      <c r="D17" s="7"/>
      <c r="E17" s="7"/>
      <c r="F17" s="7">
        <v>1.2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1.2</v>
      </c>
    </row>
    <row r="18" spans="1:35" x14ac:dyDescent="0.25">
      <c r="A18" s="26">
        <v>12</v>
      </c>
      <c r="B18" s="8" t="s">
        <v>531</v>
      </c>
      <c r="C18" s="9" t="s">
        <v>301</v>
      </c>
      <c r="D18" s="7"/>
      <c r="E18" s="7"/>
      <c r="F18" s="7">
        <v>1.3</v>
      </c>
      <c r="G18" s="7">
        <v>0.6</v>
      </c>
      <c r="H18" s="7"/>
      <c r="I18" s="7">
        <v>0.2</v>
      </c>
      <c r="J18" s="7"/>
      <c r="K18" s="7"/>
      <c r="L18" s="7">
        <v>0.2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2.3000000000000003</v>
      </c>
    </row>
    <row r="19" spans="1:35" x14ac:dyDescent="0.25">
      <c r="A19" s="26">
        <v>13</v>
      </c>
      <c r="B19" s="8" t="s">
        <v>531</v>
      </c>
      <c r="C19" s="9" t="s">
        <v>300</v>
      </c>
      <c r="D19" s="7"/>
      <c r="E19" s="7"/>
      <c r="F19" s="7">
        <v>1.9</v>
      </c>
      <c r="G19" s="7">
        <v>1.5</v>
      </c>
      <c r="H19" s="7"/>
      <c r="I19" s="7">
        <v>0.2</v>
      </c>
      <c r="J19" s="7"/>
      <c r="K19" s="7"/>
      <c r="L19" s="7">
        <v>0.3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3.9</v>
      </c>
    </row>
    <row r="20" spans="1:35" x14ac:dyDescent="0.25">
      <c r="A20" s="26">
        <v>14</v>
      </c>
      <c r="B20" s="14" t="s">
        <v>277</v>
      </c>
      <c r="C20" s="9" t="s">
        <v>534</v>
      </c>
      <c r="D20" s="7"/>
      <c r="E20" s="7"/>
      <c r="F20" s="7"/>
      <c r="G20" s="7">
        <v>2.9</v>
      </c>
      <c r="H20" s="7">
        <v>2.4</v>
      </c>
      <c r="I20" s="7">
        <v>0.4</v>
      </c>
      <c r="J20" s="7"/>
      <c r="K20" s="7"/>
      <c r="L20" s="7"/>
      <c r="M20" s="7"/>
      <c r="N20" s="7"/>
      <c r="O20" s="7"/>
      <c r="P20" s="7"/>
      <c r="Q20" s="7"/>
      <c r="R20" s="7"/>
      <c r="S20" s="7">
        <v>1.9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7.6</v>
      </c>
    </row>
    <row r="21" spans="1:35" x14ac:dyDescent="0.25">
      <c r="A21" s="26">
        <v>15</v>
      </c>
      <c r="B21" s="8" t="s">
        <v>535</v>
      </c>
      <c r="C21" s="9" t="s">
        <v>536</v>
      </c>
      <c r="D21" s="7"/>
      <c r="E21" s="7"/>
      <c r="F21" s="7"/>
      <c r="G21" s="7">
        <v>1.1000000000000001</v>
      </c>
      <c r="H21" s="7">
        <v>0.9</v>
      </c>
      <c r="I21" s="7">
        <v>3.6</v>
      </c>
      <c r="J21" s="7"/>
      <c r="K21" s="7"/>
      <c r="L21" s="7">
        <v>0.3</v>
      </c>
      <c r="M21" s="7"/>
      <c r="N21" s="7">
        <v>1.6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7.5</v>
      </c>
    </row>
    <row r="22" spans="1:35" x14ac:dyDescent="0.25">
      <c r="A22" s="26">
        <v>16</v>
      </c>
      <c r="B22" s="8" t="s">
        <v>535</v>
      </c>
      <c r="C22" s="8" t="s">
        <v>537</v>
      </c>
      <c r="D22" s="7"/>
      <c r="E22" s="7"/>
      <c r="F22" s="7"/>
      <c r="G22" s="7"/>
      <c r="H22" s="7">
        <v>0.3</v>
      </c>
      <c r="I22" s="7">
        <v>3.3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2.6</v>
      </c>
      <c r="AB22" s="7"/>
      <c r="AC22" s="7"/>
      <c r="AD22" s="7"/>
      <c r="AE22" s="7"/>
      <c r="AF22" s="7"/>
      <c r="AG22" s="7"/>
      <c r="AH22" s="7"/>
      <c r="AI22" s="2">
        <f t="shared" si="0"/>
        <v>6.1999999999999993</v>
      </c>
    </row>
    <row r="23" spans="1:35" x14ac:dyDescent="0.25">
      <c r="A23" s="26">
        <v>17</v>
      </c>
      <c r="B23" s="8" t="s">
        <v>535</v>
      </c>
      <c r="C23" s="8" t="s">
        <v>538</v>
      </c>
      <c r="D23" s="7"/>
      <c r="E23" s="7"/>
      <c r="F23" s="7"/>
      <c r="G23" s="7"/>
      <c r="H23" s="7"/>
      <c r="I23" s="7">
        <v>0.7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0.7</v>
      </c>
    </row>
    <row r="24" spans="1:35" x14ac:dyDescent="0.25">
      <c r="A24" s="26">
        <v>18</v>
      </c>
      <c r="B24" s="8" t="s">
        <v>531</v>
      </c>
      <c r="C24" s="9" t="s">
        <v>302</v>
      </c>
      <c r="D24" s="7"/>
      <c r="E24" s="7"/>
      <c r="F24" s="7"/>
      <c r="G24" s="7"/>
      <c r="H24" s="7"/>
      <c r="I24" s="7">
        <v>0.2</v>
      </c>
      <c r="J24" s="7"/>
      <c r="K24" s="7"/>
      <c r="L24" s="7">
        <v>0.2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0.4</v>
      </c>
    </row>
    <row r="25" spans="1:35" x14ac:dyDescent="0.25">
      <c r="A25" s="26">
        <v>19</v>
      </c>
      <c r="B25" s="8" t="s">
        <v>353</v>
      </c>
      <c r="C25" s="6" t="s">
        <v>508</v>
      </c>
      <c r="D25" s="7"/>
      <c r="E25" s="7"/>
      <c r="F25" s="7"/>
      <c r="G25" s="7"/>
      <c r="H25" s="7"/>
      <c r="I25" s="7"/>
      <c r="J25" s="7"/>
      <c r="K25" s="7"/>
      <c r="L25" s="7">
        <v>7.2</v>
      </c>
      <c r="M25" s="7">
        <v>1.1000000000000001</v>
      </c>
      <c r="N25" s="7">
        <v>1.1000000000000001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>
        <v>1.5</v>
      </c>
      <c r="AD25" s="7"/>
      <c r="AE25" s="7"/>
      <c r="AF25" s="7"/>
      <c r="AG25" s="7"/>
      <c r="AH25" s="7"/>
      <c r="AI25" s="2">
        <f t="shared" si="0"/>
        <v>10.9</v>
      </c>
    </row>
    <row r="26" spans="1:35" x14ac:dyDescent="0.25">
      <c r="A26" s="26">
        <v>20</v>
      </c>
      <c r="B26" s="8" t="s">
        <v>353</v>
      </c>
      <c r="C26" s="9" t="s">
        <v>539</v>
      </c>
      <c r="D26" s="7"/>
      <c r="E26" s="7"/>
      <c r="F26" s="7"/>
      <c r="G26" s="7"/>
      <c r="H26" s="7"/>
      <c r="I26" s="7"/>
      <c r="J26" s="7"/>
      <c r="K26" s="7"/>
      <c r="L26" s="7">
        <v>1.9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1.9</v>
      </c>
    </row>
    <row r="27" spans="1:35" x14ac:dyDescent="0.25">
      <c r="A27" s="26">
        <v>21</v>
      </c>
      <c r="B27" s="8" t="s">
        <v>353</v>
      </c>
      <c r="C27" s="9" t="s">
        <v>540</v>
      </c>
      <c r="D27" s="7"/>
      <c r="E27" s="7"/>
      <c r="F27" s="7"/>
      <c r="G27" s="7"/>
      <c r="H27" s="7"/>
      <c r="I27" s="7"/>
      <c r="J27" s="7"/>
      <c r="K27" s="7"/>
      <c r="L27" s="7">
        <v>0.7</v>
      </c>
      <c r="M27" s="7">
        <v>2.9</v>
      </c>
      <c r="N27" s="7"/>
      <c r="O27" s="7"/>
      <c r="P27" s="7">
        <v>1.1000000000000001</v>
      </c>
      <c r="Q27" s="7">
        <v>3.7</v>
      </c>
      <c r="R27" s="7"/>
      <c r="S27" s="7">
        <v>2.2000000000000002</v>
      </c>
      <c r="T27" s="7">
        <v>1.7</v>
      </c>
      <c r="U27" s="7"/>
      <c r="V27" s="7"/>
      <c r="W27" s="7"/>
      <c r="X27" s="7"/>
      <c r="Y27" s="7"/>
      <c r="Z27" s="7"/>
      <c r="AA27" s="7"/>
      <c r="AB27" s="7"/>
      <c r="AC27" s="7">
        <v>1.4</v>
      </c>
      <c r="AD27" s="7"/>
      <c r="AE27" s="7"/>
      <c r="AF27" s="7"/>
      <c r="AG27" s="7"/>
      <c r="AH27" s="7"/>
      <c r="AI27" s="2">
        <f t="shared" si="0"/>
        <v>13.699999999999998</v>
      </c>
    </row>
    <row r="28" spans="1:35" x14ac:dyDescent="0.25">
      <c r="A28" s="26">
        <v>22</v>
      </c>
      <c r="B28" s="8" t="s">
        <v>353</v>
      </c>
      <c r="C28" s="9" t="s">
        <v>542</v>
      </c>
      <c r="D28" s="7"/>
      <c r="E28" s="7"/>
      <c r="F28" s="7"/>
      <c r="G28" s="7"/>
      <c r="H28" s="7"/>
      <c r="I28" s="7"/>
      <c r="J28" s="7"/>
      <c r="K28" s="7"/>
      <c r="L28" s="7"/>
      <c r="M28" s="7">
        <v>1.1000000000000001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1.1000000000000001</v>
      </c>
    </row>
    <row r="29" spans="1:35" x14ac:dyDescent="0.25">
      <c r="A29" s="26">
        <v>23</v>
      </c>
      <c r="B29" s="8" t="s">
        <v>353</v>
      </c>
      <c r="C29" s="9" t="s">
        <v>541</v>
      </c>
      <c r="D29" s="7"/>
      <c r="E29" s="7"/>
      <c r="F29" s="7"/>
      <c r="G29" s="7"/>
      <c r="H29" s="7"/>
      <c r="I29" s="7"/>
      <c r="J29" s="7"/>
      <c r="K29" s="7"/>
      <c r="L29" s="7"/>
      <c r="M29" s="7">
        <v>2.2999999999999998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2.2999999999999998</v>
      </c>
    </row>
    <row r="30" spans="1:35" x14ac:dyDescent="0.25">
      <c r="A30" s="26">
        <v>24</v>
      </c>
      <c r="B30" s="8" t="s">
        <v>535</v>
      </c>
      <c r="C30" s="6" t="s">
        <v>544</v>
      </c>
      <c r="D30" s="7"/>
      <c r="E30" s="7"/>
      <c r="F30" s="7"/>
      <c r="G30" s="7"/>
      <c r="H30" s="7"/>
      <c r="I30" s="7"/>
      <c r="J30" s="7"/>
      <c r="K30" s="7"/>
      <c r="L30" s="7"/>
      <c r="M30" s="7">
        <v>1.1000000000000001</v>
      </c>
      <c r="N30" s="7">
        <v>2.4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0.7</v>
      </c>
      <c r="AB30" s="7"/>
      <c r="AC30" s="7">
        <v>1.7</v>
      </c>
      <c r="AD30" s="7">
        <v>1.1000000000000001</v>
      </c>
      <c r="AE30" s="7"/>
      <c r="AF30" s="7"/>
      <c r="AG30" s="7">
        <v>1.3</v>
      </c>
      <c r="AH30" s="7"/>
      <c r="AI30" s="2">
        <f t="shared" si="0"/>
        <v>8.3000000000000007</v>
      </c>
    </row>
    <row r="31" spans="1:35" x14ac:dyDescent="0.25">
      <c r="A31" s="26">
        <v>25</v>
      </c>
      <c r="B31" s="8" t="s">
        <v>535</v>
      </c>
      <c r="C31" s="9" t="s">
        <v>543</v>
      </c>
      <c r="D31" s="7"/>
      <c r="E31" s="7"/>
      <c r="F31" s="7"/>
      <c r="G31" s="7"/>
      <c r="H31" s="7"/>
      <c r="I31" s="7"/>
      <c r="J31" s="7"/>
      <c r="K31" s="7"/>
      <c r="L31" s="7"/>
      <c r="M31" s="7">
        <v>1.2</v>
      </c>
      <c r="N31" s="7"/>
      <c r="O31" s="7"/>
      <c r="P31" s="7"/>
      <c r="Q31" s="7"/>
      <c r="R31" s="7"/>
      <c r="S31" s="7">
        <v>1.3</v>
      </c>
      <c r="T31" s="7"/>
      <c r="U31" s="7"/>
      <c r="V31" s="7"/>
      <c r="W31" s="7">
        <v>1.3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3.8</v>
      </c>
    </row>
    <row r="32" spans="1:35" x14ac:dyDescent="0.25">
      <c r="A32" s="26">
        <v>26</v>
      </c>
      <c r="B32" s="8" t="s">
        <v>535</v>
      </c>
      <c r="C32" s="8" t="s">
        <v>545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2.6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>
        <v>1.1000000000000001</v>
      </c>
      <c r="AC32" s="7">
        <v>2.1</v>
      </c>
      <c r="AD32" s="7"/>
      <c r="AE32" s="7"/>
      <c r="AF32" s="7"/>
      <c r="AG32" s="7"/>
      <c r="AH32" s="7">
        <v>1.3</v>
      </c>
      <c r="AI32" s="2">
        <f t="shared" si="0"/>
        <v>7.1000000000000005</v>
      </c>
    </row>
    <row r="33" spans="1:35" x14ac:dyDescent="0.25">
      <c r="A33" s="26">
        <v>27</v>
      </c>
      <c r="B33" s="8" t="s">
        <v>535</v>
      </c>
      <c r="C33" s="8" t="s">
        <v>546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v>1.3</v>
      </c>
      <c r="O33" s="7"/>
      <c r="P33" s="7">
        <v>1.5</v>
      </c>
      <c r="Q33" s="7"/>
      <c r="R33" s="7"/>
      <c r="S33" s="7"/>
      <c r="T33" s="7"/>
      <c r="U33" s="7"/>
      <c r="V33" s="7">
        <v>0.3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3.0999999999999996</v>
      </c>
    </row>
    <row r="34" spans="1:35" x14ac:dyDescent="0.25">
      <c r="A34" s="26">
        <v>28</v>
      </c>
      <c r="B34" s="8" t="s">
        <v>353</v>
      </c>
      <c r="C34" s="9" t="s">
        <v>548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2">
        <v>7.9</v>
      </c>
      <c r="P34" s="7">
        <v>2.2999999999999998</v>
      </c>
      <c r="Q34" s="7"/>
      <c r="R34" s="7"/>
      <c r="S34" s="7">
        <v>1.5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11.7</v>
      </c>
    </row>
    <row r="35" spans="1:35" x14ac:dyDescent="0.25">
      <c r="A35" s="26">
        <v>29</v>
      </c>
      <c r="B35" s="8" t="s">
        <v>353</v>
      </c>
      <c r="C35" s="8" t="s">
        <v>547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v>1.1000000000000001</v>
      </c>
      <c r="P35" s="7">
        <v>4.0999999999999996</v>
      </c>
      <c r="Q35" s="7"/>
      <c r="R35" s="7"/>
      <c r="S35" s="7">
        <v>2.1</v>
      </c>
      <c r="T35" s="7">
        <v>4.2</v>
      </c>
      <c r="U35" s="7">
        <v>1.2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12.7</v>
      </c>
    </row>
    <row r="36" spans="1:35" x14ac:dyDescent="0.25">
      <c r="A36" s="26">
        <v>30</v>
      </c>
      <c r="B36" s="8" t="s">
        <v>507</v>
      </c>
      <c r="C36" s="9" t="s">
        <v>549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1.3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1.3</v>
      </c>
    </row>
    <row r="37" spans="1:35" x14ac:dyDescent="0.25">
      <c r="A37" s="26">
        <v>31</v>
      </c>
      <c r="B37" s="9" t="s">
        <v>450</v>
      </c>
      <c r="C37" s="8" t="s">
        <v>550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1.9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1.9</v>
      </c>
    </row>
    <row r="38" spans="1:35" x14ac:dyDescent="0.25">
      <c r="A38" s="26">
        <v>32</v>
      </c>
      <c r="B38" s="8" t="s">
        <v>450</v>
      </c>
      <c r="C38" s="10" t="s">
        <v>472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0.6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0.6</v>
      </c>
    </row>
    <row r="39" spans="1:35" x14ac:dyDescent="0.25">
      <c r="A39" s="26">
        <v>33</v>
      </c>
      <c r="B39" s="8" t="s">
        <v>450</v>
      </c>
      <c r="C39" s="10" t="s">
        <v>524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0.6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0.6</v>
      </c>
    </row>
    <row r="40" spans="1:35" x14ac:dyDescent="0.25">
      <c r="A40" s="26">
        <v>34</v>
      </c>
      <c r="B40" s="14" t="s">
        <v>277</v>
      </c>
      <c r="C40" s="14" t="s">
        <v>560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>
        <v>1.2</v>
      </c>
      <c r="V40" s="11"/>
      <c r="W40" s="11">
        <v>1.9</v>
      </c>
      <c r="X40" s="11"/>
      <c r="Y40" s="11"/>
      <c r="Z40" s="11">
        <v>2.6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5.6999999999999993</v>
      </c>
    </row>
    <row r="41" spans="1:35" x14ac:dyDescent="0.25">
      <c r="A41" s="26">
        <v>35</v>
      </c>
      <c r="B41" s="14" t="s">
        <v>551</v>
      </c>
      <c r="C41" s="10" t="s">
        <v>552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>
        <v>1.3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1.3</v>
      </c>
    </row>
    <row r="42" spans="1:35" x14ac:dyDescent="0.25">
      <c r="A42" s="26">
        <v>36</v>
      </c>
      <c r="B42" s="8" t="s">
        <v>353</v>
      </c>
      <c r="C42" s="14" t="s">
        <v>354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>
        <v>1.7</v>
      </c>
      <c r="V42" s="11">
        <v>1.5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3.2</v>
      </c>
    </row>
    <row r="43" spans="1:35" x14ac:dyDescent="0.25">
      <c r="A43" s="26">
        <v>37</v>
      </c>
      <c r="B43" s="8" t="s">
        <v>353</v>
      </c>
      <c r="C43" s="10" t="s">
        <v>478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>
        <v>0.5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505</v>
      </c>
      <c r="C44" s="10" t="s">
        <v>553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>
        <v>1.8</v>
      </c>
      <c r="V44" s="11">
        <v>0.9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2.7</v>
      </c>
    </row>
    <row r="45" spans="1:35" x14ac:dyDescent="0.25">
      <c r="A45" s="26">
        <v>39</v>
      </c>
      <c r="B45" s="8" t="s">
        <v>535</v>
      </c>
      <c r="C45" s="10" t="s">
        <v>554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277</v>
      </c>
      <c r="C46" s="10" t="s">
        <v>555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v>2.5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>
        <v>3.3</v>
      </c>
      <c r="W47" s="11">
        <v>1.5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4.8</v>
      </c>
    </row>
    <row r="48" spans="1:35" x14ac:dyDescent="0.25">
      <c r="A48" s="26">
        <v>42</v>
      </c>
      <c r="B48" s="10" t="s">
        <v>556</v>
      </c>
      <c r="C48" s="10" t="s">
        <v>558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1.9</v>
      </c>
      <c r="X48" s="11"/>
      <c r="Y48" s="11"/>
      <c r="Z48" s="11">
        <v>2.6</v>
      </c>
      <c r="AA48" s="11">
        <v>1.2</v>
      </c>
      <c r="AB48" s="11"/>
      <c r="AC48" s="11"/>
      <c r="AD48" s="11"/>
      <c r="AE48" s="11"/>
      <c r="AF48" s="11"/>
      <c r="AG48" s="11"/>
      <c r="AH48" s="11"/>
      <c r="AI48" s="2">
        <f t="shared" si="0"/>
        <v>5.7</v>
      </c>
    </row>
    <row r="49" spans="1:35" x14ac:dyDescent="0.25">
      <c r="A49" s="26">
        <v>43</v>
      </c>
      <c r="B49" s="10" t="s">
        <v>557</v>
      </c>
      <c r="C49" s="10" t="s">
        <v>559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1.8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1.8</v>
      </c>
    </row>
    <row r="50" spans="1:35" x14ac:dyDescent="0.25">
      <c r="A50" s="26">
        <v>44</v>
      </c>
      <c r="B50" s="8" t="s">
        <v>450</v>
      </c>
      <c r="C50" s="14" t="s">
        <v>457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>
        <v>0.3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0.3</v>
      </c>
    </row>
    <row r="51" spans="1:35" x14ac:dyDescent="0.25">
      <c r="A51" s="26">
        <v>45</v>
      </c>
      <c r="B51" s="8" t="s">
        <v>450</v>
      </c>
      <c r="C51" s="10" t="s">
        <v>468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>
        <v>0.3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0.3</v>
      </c>
    </row>
    <row r="52" spans="1:35" x14ac:dyDescent="0.25">
      <c r="A52" s="26">
        <v>46</v>
      </c>
      <c r="B52" s="9" t="s">
        <v>318</v>
      </c>
      <c r="C52" s="10" t="s">
        <v>498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3.8</v>
      </c>
      <c r="AA52" s="11">
        <v>1.8</v>
      </c>
      <c r="AB52" s="11">
        <v>1.6</v>
      </c>
      <c r="AC52" s="11"/>
      <c r="AD52" s="11"/>
      <c r="AE52" s="11"/>
      <c r="AF52" s="11"/>
      <c r="AG52" s="11"/>
      <c r="AH52" s="11"/>
      <c r="AI52" s="2">
        <f t="shared" si="0"/>
        <v>7.1999999999999993</v>
      </c>
    </row>
    <row r="53" spans="1:35" x14ac:dyDescent="0.25">
      <c r="A53" s="26">
        <v>47</v>
      </c>
      <c r="B53" s="8" t="s">
        <v>318</v>
      </c>
      <c r="C53" s="10" t="s">
        <v>499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>
        <v>1.6</v>
      </c>
      <c r="AB53" s="11">
        <v>0.4</v>
      </c>
      <c r="AC53" s="11"/>
      <c r="AD53" s="11"/>
      <c r="AE53" s="11"/>
      <c r="AF53" s="11"/>
      <c r="AG53" s="11"/>
      <c r="AH53" s="11"/>
      <c r="AI53" s="2">
        <f t="shared" si="0"/>
        <v>2</v>
      </c>
    </row>
    <row r="54" spans="1:35" x14ac:dyDescent="0.25">
      <c r="A54" s="26">
        <v>48</v>
      </c>
      <c r="B54" s="10" t="s">
        <v>561</v>
      </c>
      <c r="C54" s="10" t="s">
        <v>562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>
        <v>1.1000000000000001</v>
      </c>
      <c r="AB54" s="11">
        <v>1.7</v>
      </c>
      <c r="AC54" s="11"/>
      <c r="AD54" s="11"/>
      <c r="AE54" s="11"/>
      <c r="AF54" s="11"/>
      <c r="AG54" s="11"/>
      <c r="AH54" s="11"/>
      <c r="AI54" s="2">
        <f t="shared" si="0"/>
        <v>2.8</v>
      </c>
    </row>
    <row r="55" spans="1:35" x14ac:dyDescent="0.25">
      <c r="A55" s="26">
        <v>49</v>
      </c>
      <c r="B55" s="10" t="s">
        <v>551</v>
      </c>
      <c r="C55" s="10" t="s">
        <v>563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>
        <v>2.2999999999999998</v>
      </c>
      <c r="AC55" s="11"/>
      <c r="AD55" s="11"/>
      <c r="AE55" s="11"/>
      <c r="AF55" s="11"/>
      <c r="AG55" s="11"/>
      <c r="AH55" s="11"/>
      <c r="AI55" s="2">
        <f t="shared" si="0"/>
        <v>2.2999999999999998</v>
      </c>
    </row>
    <row r="56" spans="1:35" x14ac:dyDescent="0.25">
      <c r="A56" s="26">
        <v>50</v>
      </c>
      <c r="B56" s="10" t="s">
        <v>535</v>
      </c>
      <c r="C56" s="14" t="s">
        <v>564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>
        <v>1.9</v>
      </c>
      <c r="AC56" s="11"/>
      <c r="AD56" s="11">
        <v>5.3</v>
      </c>
      <c r="AE56" s="11"/>
      <c r="AF56" s="11"/>
      <c r="AG56" s="11"/>
      <c r="AH56" s="11"/>
      <c r="AI56" s="2">
        <f t="shared" si="0"/>
        <v>7.1999999999999993</v>
      </c>
    </row>
    <row r="57" spans="1:35" x14ac:dyDescent="0.25">
      <c r="A57" s="26">
        <v>51</v>
      </c>
      <c r="B57" s="10" t="s">
        <v>565</v>
      </c>
      <c r="C57" s="10" t="s">
        <v>566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1.7</v>
      </c>
      <c r="AD57" s="11"/>
      <c r="AE57" s="11"/>
      <c r="AF57" s="11"/>
      <c r="AG57" s="11"/>
      <c r="AH57" s="11"/>
      <c r="AI57" s="2">
        <f t="shared" si="0"/>
        <v>1.7</v>
      </c>
    </row>
    <row r="58" spans="1:35" x14ac:dyDescent="0.25">
      <c r="A58" s="26">
        <v>52</v>
      </c>
      <c r="B58" s="8" t="s">
        <v>535</v>
      </c>
      <c r="C58" s="10" t="s">
        <v>567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>
        <v>0.6</v>
      </c>
      <c r="AD58" s="11">
        <v>1.6</v>
      </c>
      <c r="AE58" s="11"/>
      <c r="AF58" s="11"/>
      <c r="AG58" s="11"/>
      <c r="AH58" s="11"/>
      <c r="AI58" s="2">
        <f t="shared" si="0"/>
        <v>2.2000000000000002</v>
      </c>
    </row>
    <row r="59" spans="1:35" x14ac:dyDescent="0.25">
      <c r="A59" s="26">
        <v>53</v>
      </c>
      <c r="B59" s="8" t="s">
        <v>318</v>
      </c>
      <c r="C59" s="10" t="s">
        <v>568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0.6</v>
      </c>
      <c r="AE59" s="11"/>
      <c r="AF59" s="11"/>
      <c r="AG59" s="11"/>
      <c r="AH59" s="11"/>
      <c r="AI59" s="2">
        <f t="shared" si="0"/>
        <v>0.6</v>
      </c>
    </row>
    <row r="60" spans="1:35" x14ac:dyDescent="0.25">
      <c r="A60" s="26">
        <v>54</v>
      </c>
      <c r="B60" s="8" t="s">
        <v>318</v>
      </c>
      <c r="C60" s="10" t="s">
        <v>569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0.4</v>
      </c>
      <c r="AE60" s="11"/>
      <c r="AF60" s="11"/>
      <c r="AG60" s="11"/>
      <c r="AH60" s="11"/>
      <c r="AI60" s="2">
        <f t="shared" si="0"/>
        <v>0.4</v>
      </c>
    </row>
    <row r="61" spans="1:35" x14ac:dyDescent="0.25">
      <c r="A61" s="26">
        <v>55</v>
      </c>
      <c r="B61" s="10" t="s">
        <v>551</v>
      </c>
      <c r="C61" s="10" t="s">
        <v>570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5.6</v>
      </c>
      <c r="AH61" s="11">
        <v>6.5</v>
      </c>
      <c r="AI61" s="2">
        <f t="shared" si="0"/>
        <v>12.1</v>
      </c>
    </row>
    <row r="62" spans="1:35" x14ac:dyDescent="0.25">
      <c r="A62" s="26">
        <v>56</v>
      </c>
      <c r="B62" s="9" t="s">
        <v>318</v>
      </c>
      <c r="C62" s="10" t="s">
        <v>571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>
        <v>0.9</v>
      </c>
      <c r="AH62" s="11"/>
      <c r="AI62" s="2">
        <f t="shared" si="0"/>
        <v>0.9</v>
      </c>
    </row>
    <row r="63" spans="1:35" x14ac:dyDescent="0.25">
      <c r="A63" s="26">
        <v>57</v>
      </c>
      <c r="B63" s="9" t="s">
        <v>318</v>
      </c>
      <c r="C63" s="10" t="s">
        <v>324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1.2</v>
      </c>
      <c r="AI63" s="2">
        <f t="shared" si="0"/>
        <v>1.2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11</v>
      </c>
      <c r="H107" s="3">
        <f t="shared" si="1"/>
        <v>9.0000000000000018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11</v>
      </c>
      <c r="M107" s="3">
        <f t="shared" si="1"/>
        <v>10.999999999999998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5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9.0000000000000018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8.9999999999999982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9</v>
      </c>
      <c r="AH107" s="3">
        <f t="shared" si="1"/>
        <v>9</v>
      </c>
      <c r="AI107" s="1">
        <f>SUM(D107:AH107)</f>
        <v>211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topLeftCell="A40" zoomScaleNormal="100" workbookViewId="0">
      <pane xSplit="3" topLeftCell="AG1" activePane="topRight" state="frozen"/>
      <selection pane="topRight" activeCell="C72" sqref="C72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551</v>
      </c>
      <c r="C7" s="53" t="s">
        <v>573</v>
      </c>
      <c r="D7" s="13">
        <v>4.2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4.2</v>
      </c>
    </row>
    <row r="8" spans="1:35" x14ac:dyDescent="0.25">
      <c r="A8" s="26">
        <v>2</v>
      </c>
      <c r="B8" s="8" t="s">
        <v>574</v>
      </c>
      <c r="C8" s="54" t="s">
        <v>587</v>
      </c>
      <c r="D8" s="7">
        <v>1.2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1.2</v>
      </c>
    </row>
    <row r="9" spans="1:35" x14ac:dyDescent="0.25">
      <c r="A9" s="26">
        <v>3</v>
      </c>
      <c r="B9" s="9" t="s">
        <v>575</v>
      </c>
      <c r="C9" s="9" t="s">
        <v>576</v>
      </c>
      <c r="D9" s="7">
        <v>0.7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0.7</v>
      </c>
    </row>
    <row r="10" spans="1:35" x14ac:dyDescent="0.25">
      <c r="A10" s="26">
        <v>4</v>
      </c>
      <c r="B10" s="8" t="s">
        <v>318</v>
      </c>
      <c r="C10" s="9" t="s">
        <v>327</v>
      </c>
      <c r="D10" s="7">
        <v>2.9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2.9</v>
      </c>
    </row>
    <row r="11" spans="1:35" x14ac:dyDescent="0.25">
      <c r="A11" s="26">
        <v>5</v>
      </c>
      <c r="B11" s="10" t="s">
        <v>551</v>
      </c>
      <c r="C11" s="9" t="s">
        <v>563</v>
      </c>
      <c r="D11" s="7"/>
      <c r="E11" s="7"/>
      <c r="F11" s="7">
        <v>3.9</v>
      </c>
      <c r="G11" s="7"/>
      <c r="H11" s="7"/>
      <c r="I11" s="7">
        <v>3.8</v>
      </c>
      <c r="J11" s="7">
        <v>3.2</v>
      </c>
      <c r="K11" s="7">
        <v>2.1</v>
      </c>
      <c r="L11" s="7">
        <v>2.6</v>
      </c>
      <c r="M11" s="7"/>
      <c r="N11" s="7"/>
      <c r="O11" s="7"/>
      <c r="P11" s="7">
        <v>3.4</v>
      </c>
      <c r="Q11" s="7"/>
      <c r="R11" s="7">
        <v>1.2</v>
      </c>
      <c r="S11" s="7">
        <v>1.1000000000000001</v>
      </c>
      <c r="T11" s="7"/>
      <c r="U11" s="7"/>
      <c r="V11" s="7"/>
      <c r="W11" s="7"/>
      <c r="X11" s="7"/>
      <c r="Y11" s="7">
        <v>1.7</v>
      </c>
      <c r="Z11" s="7">
        <v>1.7</v>
      </c>
      <c r="AA11" s="7"/>
      <c r="AB11" s="7"/>
      <c r="AC11" s="7"/>
      <c r="AD11" s="7"/>
      <c r="AE11" s="7"/>
      <c r="AF11" s="7"/>
      <c r="AG11" s="7"/>
      <c r="AH11" s="7"/>
      <c r="AI11" s="2">
        <f t="shared" si="0"/>
        <v>24.699999999999996</v>
      </c>
    </row>
    <row r="12" spans="1:35" x14ac:dyDescent="0.25">
      <c r="A12" s="26">
        <v>6</v>
      </c>
      <c r="B12" s="10" t="s">
        <v>551</v>
      </c>
      <c r="C12" s="9" t="s">
        <v>577</v>
      </c>
      <c r="D12" s="7"/>
      <c r="E12" s="7"/>
      <c r="F12" s="7">
        <v>1.2</v>
      </c>
      <c r="G12" s="7"/>
      <c r="H12" s="7"/>
      <c r="I12" s="7">
        <v>3.5</v>
      </c>
      <c r="J12" s="7">
        <v>3.1</v>
      </c>
      <c r="K12" s="7">
        <v>2.2999999999999998</v>
      </c>
      <c r="L12" s="7">
        <v>2.2999999999999998</v>
      </c>
      <c r="M12" s="7">
        <v>1.3</v>
      </c>
      <c r="N12" s="7"/>
      <c r="O12" s="7"/>
      <c r="P12" s="7">
        <v>1.6</v>
      </c>
      <c r="Q12" s="7">
        <v>1.3</v>
      </c>
      <c r="R12" s="7">
        <v>1.5</v>
      </c>
      <c r="S12" s="7">
        <v>1.2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19.3</v>
      </c>
    </row>
    <row r="13" spans="1:35" x14ac:dyDescent="0.25">
      <c r="A13" s="26">
        <v>7</v>
      </c>
      <c r="B13" s="9" t="s">
        <v>318</v>
      </c>
      <c r="C13" s="9" t="s">
        <v>327</v>
      </c>
      <c r="D13" s="7"/>
      <c r="E13" s="7"/>
      <c r="F13" s="7">
        <v>0.5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9" t="s">
        <v>318</v>
      </c>
      <c r="C14" s="9" t="s">
        <v>325</v>
      </c>
      <c r="D14" s="7"/>
      <c r="E14" s="7"/>
      <c r="F14" s="7">
        <v>0.6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0.6</v>
      </c>
    </row>
    <row r="15" spans="1:35" x14ac:dyDescent="0.25">
      <c r="A15" s="26">
        <v>9</v>
      </c>
      <c r="B15" s="9" t="s">
        <v>318</v>
      </c>
      <c r="C15" s="9" t="s">
        <v>498</v>
      </c>
      <c r="D15" s="7"/>
      <c r="E15" s="7"/>
      <c r="F15" s="7">
        <v>1.5</v>
      </c>
      <c r="G15" s="7"/>
      <c r="H15" s="7"/>
      <c r="I15" s="7">
        <v>1.2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2.7</v>
      </c>
    </row>
    <row r="16" spans="1:35" x14ac:dyDescent="0.25">
      <c r="A16" s="26">
        <v>10</v>
      </c>
      <c r="B16" s="8" t="s">
        <v>535</v>
      </c>
      <c r="C16" s="8" t="s">
        <v>545</v>
      </c>
      <c r="D16" s="7"/>
      <c r="E16" s="7"/>
      <c r="F16" s="7">
        <v>0.4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0.5</v>
      </c>
      <c r="Z16" s="7"/>
      <c r="AA16" s="7">
        <v>0.6</v>
      </c>
      <c r="AB16" s="7"/>
      <c r="AC16" s="7"/>
      <c r="AD16" s="7"/>
      <c r="AE16" s="7"/>
      <c r="AF16" s="7"/>
      <c r="AG16" s="7"/>
      <c r="AH16" s="7"/>
      <c r="AI16" s="2">
        <f t="shared" si="0"/>
        <v>1.5</v>
      </c>
    </row>
    <row r="17" spans="1:35" x14ac:dyDescent="0.25">
      <c r="A17" s="26">
        <v>11</v>
      </c>
      <c r="B17" s="10" t="s">
        <v>505</v>
      </c>
      <c r="C17" s="9" t="s">
        <v>578</v>
      </c>
      <c r="D17" s="7"/>
      <c r="E17" s="7"/>
      <c r="F17" s="7">
        <v>0.9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0.9</v>
      </c>
    </row>
    <row r="18" spans="1:35" x14ac:dyDescent="0.25">
      <c r="A18" s="26">
        <v>12</v>
      </c>
      <c r="B18" s="9" t="s">
        <v>318</v>
      </c>
      <c r="C18" s="9" t="s">
        <v>580</v>
      </c>
      <c r="D18" s="7"/>
      <c r="E18" s="7"/>
      <c r="F18" s="7"/>
      <c r="G18" s="7"/>
      <c r="H18" s="7"/>
      <c r="I18" s="7">
        <v>0.3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0.3</v>
      </c>
    </row>
    <row r="19" spans="1:35" x14ac:dyDescent="0.25">
      <c r="A19" s="26">
        <v>13</v>
      </c>
      <c r="B19" s="9" t="s">
        <v>318</v>
      </c>
      <c r="C19" s="9" t="s">
        <v>579</v>
      </c>
      <c r="D19" s="7"/>
      <c r="E19" s="7"/>
      <c r="F19" s="7"/>
      <c r="G19" s="7"/>
      <c r="H19" s="7"/>
      <c r="I19" s="7">
        <v>0.2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0.2</v>
      </c>
    </row>
    <row r="20" spans="1:35" x14ac:dyDescent="0.25">
      <c r="A20" s="26">
        <v>14</v>
      </c>
      <c r="B20" s="10" t="s">
        <v>551</v>
      </c>
      <c r="C20" s="8" t="s">
        <v>581</v>
      </c>
      <c r="D20" s="7"/>
      <c r="E20" s="7"/>
      <c r="F20" s="7"/>
      <c r="G20" s="7"/>
      <c r="H20" s="7"/>
      <c r="I20" s="7"/>
      <c r="J20" s="7">
        <v>1.3</v>
      </c>
      <c r="K20" s="7">
        <v>1.6</v>
      </c>
      <c r="L20" s="7">
        <v>1.1000000000000001</v>
      </c>
      <c r="M20" s="7"/>
      <c r="N20" s="7"/>
      <c r="O20" s="7"/>
      <c r="P20" s="7">
        <v>0.5</v>
      </c>
      <c r="Q20" s="7">
        <v>1.2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5.7</v>
      </c>
    </row>
    <row r="21" spans="1:35" x14ac:dyDescent="0.25">
      <c r="A21" s="26">
        <v>15</v>
      </c>
      <c r="B21" s="9" t="s">
        <v>318</v>
      </c>
      <c r="C21" s="9" t="s">
        <v>473</v>
      </c>
      <c r="D21" s="7"/>
      <c r="E21" s="7"/>
      <c r="F21" s="7"/>
      <c r="G21" s="7"/>
      <c r="H21" s="7"/>
      <c r="I21" s="7"/>
      <c r="J21" s="7">
        <v>1.4</v>
      </c>
      <c r="K21" s="7">
        <v>1.3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9" t="s">
        <v>318</v>
      </c>
      <c r="C22" s="8" t="s">
        <v>582</v>
      </c>
      <c r="D22" s="7"/>
      <c r="E22" s="7"/>
      <c r="F22" s="7"/>
      <c r="G22" s="7"/>
      <c r="H22" s="7"/>
      <c r="I22" s="7"/>
      <c r="J22" s="7"/>
      <c r="K22" s="7">
        <v>0.8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0.8</v>
      </c>
    </row>
    <row r="23" spans="1:35" x14ac:dyDescent="0.25">
      <c r="A23" s="26">
        <v>17</v>
      </c>
      <c r="B23" s="9" t="s">
        <v>318</v>
      </c>
      <c r="C23" s="8" t="s">
        <v>583</v>
      </c>
      <c r="D23" s="7"/>
      <c r="E23" s="7"/>
      <c r="F23" s="7"/>
      <c r="G23" s="7"/>
      <c r="H23" s="7"/>
      <c r="I23" s="7"/>
      <c r="J23" s="7"/>
      <c r="K23" s="7">
        <v>0.9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0.5</v>
      </c>
      <c r="AB23" s="7"/>
      <c r="AC23" s="7"/>
      <c r="AD23" s="7"/>
      <c r="AE23" s="7"/>
      <c r="AF23" s="7"/>
      <c r="AG23" s="7"/>
      <c r="AH23" s="7"/>
      <c r="AI23" s="2">
        <f t="shared" si="0"/>
        <v>1.4</v>
      </c>
    </row>
    <row r="24" spans="1:35" x14ac:dyDescent="0.25">
      <c r="A24" s="26">
        <v>18</v>
      </c>
      <c r="B24" s="10" t="s">
        <v>551</v>
      </c>
      <c r="C24" s="9" t="s">
        <v>552</v>
      </c>
      <c r="D24" s="7"/>
      <c r="E24" s="7"/>
      <c r="F24" s="7"/>
      <c r="G24" s="7"/>
      <c r="H24" s="7"/>
      <c r="I24" s="7"/>
      <c r="J24" s="7"/>
      <c r="K24" s="7"/>
      <c r="L24" s="7">
        <v>1.9</v>
      </c>
      <c r="M24" s="7">
        <v>1.5</v>
      </c>
      <c r="N24" s="7"/>
      <c r="O24" s="7"/>
      <c r="P24" s="7">
        <v>3.1</v>
      </c>
      <c r="Q24" s="7">
        <v>2.2000000000000002</v>
      </c>
      <c r="R24" s="7">
        <v>4.5</v>
      </c>
      <c r="S24" s="7">
        <v>4.3</v>
      </c>
      <c r="T24" s="7">
        <v>6.4</v>
      </c>
      <c r="U24" s="7"/>
      <c r="V24" s="7"/>
      <c r="W24" s="7">
        <v>3.2</v>
      </c>
      <c r="X24" s="7">
        <v>1.9</v>
      </c>
      <c r="Y24" s="7">
        <v>1.8</v>
      </c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30.799999999999997</v>
      </c>
    </row>
    <row r="25" spans="1:35" x14ac:dyDescent="0.25">
      <c r="A25" s="26">
        <v>19</v>
      </c>
      <c r="B25" s="8" t="s">
        <v>431</v>
      </c>
      <c r="C25" s="6" t="s">
        <v>584</v>
      </c>
      <c r="D25" s="7"/>
      <c r="E25" s="7"/>
      <c r="F25" s="7"/>
      <c r="G25" s="7"/>
      <c r="H25" s="7"/>
      <c r="I25" s="7"/>
      <c r="J25" s="7"/>
      <c r="K25" s="7"/>
      <c r="L25" s="7">
        <v>1.1000000000000001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1.1000000000000001</v>
      </c>
    </row>
    <row r="26" spans="1:35" x14ac:dyDescent="0.25">
      <c r="A26" s="26">
        <v>20</v>
      </c>
      <c r="B26" s="10" t="s">
        <v>455</v>
      </c>
      <c r="C26" s="9" t="s">
        <v>585</v>
      </c>
      <c r="D26" s="7"/>
      <c r="E26" s="7"/>
      <c r="F26" s="7"/>
      <c r="G26" s="7"/>
      <c r="H26" s="7"/>
      <c r="I26" s="7"/>
      <c r="J26" s="7"/>
      <c r="K26" s="7"/>
      <c r="L26" s="7"/>
      <c r="M26" s="7">
        <v>6.2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6.2</v>
      </c>
    </row>
    <row r="27" spans="1:35" x14ac:dyDescent="0.25">
      <c r="A27" s="26">
        <v>21</v>
      </c>
      <c r="B27" s="10" t="s">
        <v>551</v>
      </c>
      <c r="C27" s="9" t="s">
        <v>586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0.4</v>
      </c>
      <c r="Q27" s="7">
        <v>1.4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1.7999999999999998</v>
      </c>
    </row>
    <row r="28" spans="1:35" x14ac:dyDescent="0.25">
      <c r="A28" s="26">
        <v>22</v>
      </c>
      <c r="B28" s="8" t="s">
        <v>318</v>
      </c>
      <c r="C28" s="9" t="s">
        <v>588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1.6</v>
      </c>
      <c r="R28" s="7"/>
      <c r="S28" s="7"/>
      <c r="T28" s="7"/>
      <c r="U28" s="7"/>
      <c r="V28" s="7"/>
      <c r="W28" s="7">
        <v>0.4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10" t="s">
        <v>551</v>
      </c>
      <c r="C29" s="9" t="s">
        <v>589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v>1.3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1.3</v>
      </c>
    </row>
    <row r="30" spans="1:35" x14ac:dyDescent="0.25">
      <c r="A30" s="26">
        <v>24</v>
      </c>
      <c r="B30" s="8" t="s">
        <v>557</v>
      </c>
      <c r="C30" s="6" t="s">
        <v>559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10" t="s">
        <v>551</v>
      </c>
      <c r="C31" s="9" t="s">
        <v>590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1.8</v>
      </c>
      <c r="S31" s="7">
        <v>2.1</v>
      </c>
      <c r="T31" s="7"/>
      <c r="U31" s="7"/>
      <c r="V31" s="7"/>
      <c r="W31" s="7">
        <v>3.4</v>
      </c>
      <c r="X31" s="7">
        <v>2.2000000000000002</v>
      </c>
      <c r="Y31" s="7">
        <v>1.2</v>
      </c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10.7</v>
      </c>
    </row>
    <row r="32" spans="1:35" x14ac:dyDescent="0.25">
      <c r="A32" s="26">
        <v>26</v>
      </c>
      <c r="B32" s="8" t="s">
        <v>535</v>
      </c>
      <c r="C32" s="8" t="s">
        <v>591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0.3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0.3</v>
      </c>
    </row>
    <row r="33" spans="1:35" x14ac:dyDescent="0.25">
      <c r="A33" s="26">
        <v>27</v>
      </c>
      <c r="B33" s="8" t="s">
        <v>556</v>
      </c>
      <c r="C33" s="54" t="s">
        <v>597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0.5</v>
      </c>
      <c r="U33" s="7"/>
      <c r="V33" s="7"/>
      <c r="W33" s="7">
        <v>0.3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0.8</v>
      </c>
    </row>
    <row r="34" spans="1:35" x14ac:dyDescent="0.25">
      <c r="A34" s="26">
        <v>28</v>
      </c>
      <c r="B34" s="54" t="s">
        <v>592</v>
      </c>
      <c r="C34" s="54" t="s">
        <v>594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0.8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0.8</v>
      </c>
    </row>
    <row r="35" spans="1:35" x14ac:dyDescent="0.25">
      <c r="A35" s="26">
        <v>29</v>
      </c>
      <c r="B35" s="54" t="s">
        <v>592</v>
      </c>
      <c r="C35" s="54" t="s">
        <v>595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54" t="s">
        <v>592</v>
      </c>
      <c r="C36" s="8" t="s">
        <v>593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0.6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0.6</v>
      </c>
    </row>
    <row r="37" spans="1:35" x14ac:dyDescent="0.25">
      <c r="A37" s="26">
        <v>31</v>
      </c>
      <c r="B37" s="54" t="s">
        <v>592</v>
      </c>
      <c r="C37" s="54" t="s">
        <v>596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>
        <v>1.1000000000000001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1.1000000000000001</v>
      </c>
    </row>
    <row r="38" spans="1:35" x14ac:dyDescent="0.25">
      <c r="A38" s="26">
        <v>32</v>
      </c>
      <c r="B38" s="10" t="s">
        <v>353</v>
      </c>
      <c r="C38" s="10" t="s">
        <v>541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>
        <v>0.6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0.6</v>
      </c>
    </row>
    <row r="39" spans="1:35" x14ac:dyDescent="0.25">
      <c r="A39" s="26">
        <v>33</v>
      </c>
      <c r="B39" s="10" t="s">
        <v>455</v>
      </c>
      <c r="C39" s="10" t="s">
        <v>598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>
        <v>4.9000000000000004</v>
      </c>
      <c r="Y39" s="11">
        <v>2.1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7</v>
      </c>
    </row>
    <row r="40" spans="1:35" x14ac:dyDescent="0.25">
      <c r="A40" s="26">
        <v>34</v>
      </c>
      <c r="B40" s="10" t="s">
        <v>353</v>
      </c>
      <c r="C40" s="10" t="s">
        <v>548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1.1000000000000001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1.1000000000000001</v>
      </c>
    </row>
    <row r="41" spans="1:35" x14ac:dyDescent="0.25">
      <c r="A41" s="26">
        <v>35</v>
      </c>
      <c r="B41" s="8" t="s">
        <v>535</v>
      </c>
      <c r="C41" s="10" t="s">
        <v>544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0.6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0.6</v>
      </c>
    </row>
    <row r="42" spans="1:35" x14ac:dyDescent="0.25">
      <c r="A42" s="26">
        <v>36</v>
      </c>
      <c r="B42" s="53" t="s">
        <v>599</v>
      </c>
      <c r="C42" s="53" t="s">
        <v>600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>
        <v>2.2999999999999998</v>
      </c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2.2999999999999998</v>
      </c>
    </row>
    <row r="43" spans="1:35" x14ac:dyDescent="0.25">
      <c r="A43" s="26">
        <v>37</v>
      </c>
      <c r="B43" s="10" t="s">
        <v>599</v>
      </c>
      <c r="C43" s="53" t="s">
        <v>601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1.4</v>
      </c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1.4</v>
      </c>
    </row>
    <row r="44" spans="1:35" x14ac:dyDescent="0.25">
      <c r="A44" s="26">
        <v>38</v>
      </c>
      <c r="B44" s="10" t="s">
        <v>599</v>
      </c>
      <c r="C44" s="53" t="s">
        <v>602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2.2000000000000002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25">
      <c r="A45" s="26">
        <v>39</v>
      </c>
      <c r="B45" s="10" t="s">
        <v>599</v>
      </c>
      <c r="C45" s="53" t="s">
        <v>603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>
        <v>1.4</v>
      </c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1.4</v>
      </c>
    </row>
    <row r="46" spans="1:35" x14ac:dyDescent="0.25">
      <c r="A46" s="26">
        <v>40</v>
      </c>
      <c r="B46" s="8" t="s">
        <v>535</v>
      </c>
      <c r="C46" s="10" t="s">
        <v>554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>
        <v>1.1000000000000001</v>
      </c>
      <c r="AB46" s="11"/>
      <c r="AC46" s="11"/>
      <c r="AD46" s="11"/>
      <c r="AE46" s="11"/>
      <c r="AF46" s="11"/>
      <c r="AG46" s="11"/>
      <c r="AH46" s="11"/>
      <c r="AI46" s="2">
        <f t="shared" si="0"/>
        <v>1.1000000000000001</v>
      </c>
    </row>
    <row r="47" spans="1:35" x14ac:dyDescent="0.25">
      <c r="A47" s="26">
        <v>41</v>
      </c>
      <c r="B47" s="53" t="s">
        <v>599</v>
      </c>
      <c r="C47" s="53" t="s">
        <v>604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>
        <v>1.4</v>
      </c>
      <c r="AB47" s="11"/>
      <c r="AC47" s="11"/>
      <c r="AD47" s="11"/>
      <c r="AE47" s="11"/>
      <c r="AF47" s="11"/>
      <c r="AG47" s="11"/>
      <c r="AH47" s="11"/>
      <c r="AI47" s="2">
        <f t="shared" si="0"/>
        <v>1.4</v>
      </c>
    </row>
    <row r="48" spans="1:35" x14ac:dyDescent="0.25">
      <c r="A48" s="26">
        <v>42</v>
      </c>
      <c r="B48" s="53" t="s">
        <v>599</v>
      </c>
      <c r="C48" s="53" t="s">
        <v>605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>
        <v>0.8</v>
      </c>
      <c r="AB48" s="11"/>
      <c r="AC48" s="11"/>
      <c r="AD48" s="11"/>
      <c r="AE48" s="11"/>
      <c r="AF48" s="11"/>
      <c r="AG48" s="11"/>
      <c r="AH48" s="11"/>
      <c r="AI48" s="2">
        <f t="shared" si="0"/>
        <v>0.8</v>
      </c>
    </row>
    <row r="49" spans="1:35" x14ac:dyDescent="0.25">
      <c r="A49" s="26">
        <v>43</v>
      </c>
      <c r="B49" s="53" t="s">
        <v>599</v>
      </c>
      <c r="C49" s="53" t="s">
        <v>606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>
        <v>0.9</v>
      </c>
      <c r="AB49" s="11"/>
      <c r="AC49" s="11"/>
      <c r="AD49" s="11"/>
      <c r="AE49" s="11"/>
      <c r="AF49" s="11"/>
      <c r="AG49" s="11"/>
      <c r="AH49" s="11"/>
      <c r="AI49" s="2">
        <f t="shared" si="0"/>
        <v>0.9</v>
      </c>
    </row>
    <row r="50" spans="1:35" x14ac:dyDescent="0.25">
      <c r="A50" s="26">
        <v>44</v>
      </c>
      <c r="B50" s="53" t="s">
        <v>599</v>
      </c>
      <c r="C50" s="53" t="s">
        <v>607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0.8</v>
      </c>
      <c r="AB50" s="11"/>
      <c r="AC50" s="11"/>
      <c r="AD50" s="11"/>
      <c r="AE50" s="11"/>
      <c r="AF50" s="11"/>
      <c r="AG50" s="11"/>
      <c r="AH50" s="11"/>
      <c r="AI50" s="2">
        <f t="shared" si="0"/>
        <v>0.8</v>
      </c>
    </row>
    <row r="51" spans="1:35" x14ac:dyDescent="0.25">
      <c r="A51" s="26">
        <v>45</v>
      </c>
      <c r="B51" s="53" t="s">
        <v>599</v>
      </c>
      <c r="C51" s="53" t="s">
        <v>608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0.6</v>
      </c>
      <c r="AB51" s="11"/>
      <c r="AC51" s="11"/>
      <c r="AD51" s="11"/>
      <c r="AE51" s="11"/>
      <c r="AF51" s="11"/>
      <c r="AG51" s="11"/>
      <c r="AH51" s="11"/>
      <c r="AI51" s="2">
        <f t="shared" si="0"/>
        <v>0.6</v>
      </c>
    </row>
    <row r="52" spans="1:35" x14ac:dyDescent="0.25">
      <c r="A52" s="26">
        <v>46</v>
      </c>
      <c r="B52" s="10" t="s">
        <v>561</v>
      </c>
      <c r="C52" s="10" t="s">
        <v>609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>
        <v>2.2999999999999998</v>
      </c>
      <c r="AB52" s="11"/>
      <c r="AC52" s="11"/>
      <c r="AD52" s="11">
        <v>3.4</v>
      </c>
      <c r="AE52" s="11">
        <v>2.9</v>
      </c>
      <c r="AF52" s="11"/>
      <c r="AG52" s="11">
        <v>0.8</v>
      </c>
      <c r="AH52" s="11"/>
      <c r="AI52" s="2">
        <f t="shared" si="0"/>
        <v>9.4</v>
      </c>
    </row>
    <row r="53" spans="1:35" x14ac:dyDescent="0.25">
      <c r="A53" s="26">
        <v>47</v>
      </c>
      <c r="B53" s="10" t="s">
        <v>561</v>
      </c>
      <c r="C53" s="53" t="s">
        <v>616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>
        <v>3.6</v>
      </c>
      <c r="AE53" s="11"/>
      <c r="AF53" s="11"/>
      <c r="AG53" s="11"/>
      <c r="AH53" s="11"/>
      <c r="AI53" s="2">
        <f t="shared" si="0"/>
        <v>3.6</v>
      </c>
    </row>
    <row r="54" spans="1:35" x14ac:dyDescent="0.25">
      <c r="A54" s="26">
        <v>48</v>
      </c>
      <c r="B54" s="53" t="s">
        <v>599</v>
      </c>
      <c r="C54" s="10" t="s">
        <v>610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>
        <v>1.3</v>
      </c>
      <c r="AE54" s="11">
        <v>0.3</v>
      </c>
      <c r="AF54" s="11"/>
      <c r="AG54" s="11"/>
      <c r="AH54" s="11"/>
      <c r="AI54" s="2">
        <f t="shared" si="0"/>
        <v>1.6</v>
      </c>
    </row>
    <row r="55" spans="1:35" x14ac:dyDescent="0.25">
      <c r="A55" s="26">
        <v>49</v>
      </c>
      <c r="B55" s="8" t="s">
        <v>318</v>
      </c>
      <c r="C55" s="10" t="s">
        <v>611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0.7</v>
      </c>
      <c r="AE55" s="11"/>
      <c r="AF55" s="11"/>
      <c r="AG55" s="11"/>
      <c r="AH55" s="11"/>
      <c r="AI55" s="2">
        <f t="shared" si="0"/>
        <v>0.7</v>
      </c>
    </row>
    <row r="56" spans="1:35" x14ac:dyDescent="0.25">
      <c r="A56" s="26">
        <v>50</v>
      </c>
      <c r="B56" s="10" t="s">
        <v>561</v>
      </c>
      <c r="C56" s="10" t="s">
        <v>612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1.8</v>
      </c>
      <c r="AF56" s="11">
        <v>2.6</v>
      </c>
      <c r="AG56" s="11"/>
      <c r="AH56" s="11"/>
      <c r="AI56" s="2">
        <f t="shared" si="0"/>
        <v>4.4000000000000004</v>
      </c>
    </row>
    <row r="57" spans="1:35" x14ac:dyDescent="0.25">
      <c r="A57" s="26">
        <v>51</v>
      </c>
      <c r="B57" s="53" t="s">
        <v>599</v>
      </c>
      <c r="C57" s="10" t="s">
        <v>613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0.5</v>
      </c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8" t="s">
        <v>557</v>
      </c>
      <c r="C58" s="10" t="s">
        <v>614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0.8</v>
      </c>
      <c r="AF58" s="11"/>
      <c r="AG58" s="11"/>
      <c r="AH58" s="11"/>
      <c r="AI58" s="2">
        <f t="shared" si="0"/>
        <v>0.8</v>
      </c>
    </row>
    <row r="59" spans="1:35" x14ac:dyDescent="0.25">
      <c r="A59" s="26">
        <v>53</v>
      </c>
      <c r="B59" s="8" t="s">
        <v>557</v>
      </c>
      <c r="C59" s="10" t="s">
        <v>615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>
        <v>0.6</v>
      </c>
      <c r="AF59" s="11"/>
      <c r="AG59" s="11"/>
      <c r="AH59" s="11"/>
      <c r="AI59" s="2">
        <f t="shared" si="0"/>
        <v>0.6</v>
      </c>
    </row>
    <row r="60" spans="1:35" x14ac:dyDescent="0.25">
      <c r="A60" s="26">
        <v>54</v>
      </c>
      <c r="B60" s="8" t="s">
        <v>557</v>
      </c>
      <c r="C60" s="53" t="s">
        <v>617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>
        <v>2.1</v>
      </c>
      <c r="AF60" s="11">
        <v>0.2</v>
      </c>
      <c r="AG60" s="11"/>
      <c r="AH60" s="11"/>
      <c r="AI60" s="2">
        <f t="shared" si="0"/>
        <v>2.3000000000000003</v>
      </c>
    </row>
    <row r="61" spans="1:35" x14ac:dyDescent="0.25">
      <c r="A61" s="26">
        <v>55</v>
      </c>
      <c r="B61" s="53" t="s">
        <v>561</v>
      </c>
      <c r="C61" s="10" t="s">
        <v>618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1.2</v>
      </c>
      <c r="AG61" s="11">
        <v>1.5</v>
      </c>
      <c r="AH61" s="11"/>
      <c r="AI61" s="2">
        <f t="shared" si="0"/>
        <v>2.7</v>
      </c>
    </row>
    <row r="62" spans="1:35" x14ac:dyDescent="0.25">
      <c r="A62" s="26">
        <v>56</v>
      </c>
      <c r="B62" s="10" t="s">
        <v>561</v>
      </c>
      <c r="C62" s="10" t="s">
        <v>619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1.4</v>
      </c>
      <c r="AG62" s="11">
        <v>0.5</v>
      </c>
      <c r="AH62" s="11"/>
      <c r="AI62" s="2">
        <f t="shared" si="0"/>
        <v>1.9</v>
      </c>
    </row>
    <row r="63" spans="1:35" x14ac:dyDescent="0.25">
      <c r="A63" s="26">
        <v>57</v>
      </c>
      <c r="B63" s="10" t="s">
        <v>561</v>
      </c>
      <c r="C63" s="53" t="s">
        <v>620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2.1</v>
      </c>
      <c r="AG63" s="11">
        <v>1.6</v>
      </c>
      <c r="AH63" s="11"/>
      <c r="AI63" s="2">
        <f t="shared" si="0"/>
        <v>3.7</v>
      </c>
    </row>
    <row r="64" spans="1:35" x14ac:dyDescent="0.25">
      <c r="A64" s="26">
        <v>58</v>
      </c>
      <c r="B64" s="54" t="s">
        <v>592</v>
      </c>
      <c r="C64" s="10" t="s">
        <v>621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1.2</v>
      </c>
      <c r="AG64" s="11"/>
      <c r="AH64" s="11"/>
      <c r="AI64" s="2">
        <f t="shared" si="0"/>
        <v>1.2</v>
      </c>
    </row>
    <row r="65" spans="1:35" x14ac:dyDescent="0.25">
      <c r="A65" s="26">
        <v>59</v>
      </c>
      <c r="B65" s="54" t="s">
        <v>592</v>
      </c>
      <c r="C65" s="10" t="s">
        <v>622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0.3</v>
      </c>
      <c r="AG65" s="11"/>
      <c r="AH65" s="11"/>
      <c r="AI65" s="2">
        <f t="shared" si="0"/>
        <v>0.3</v>
      </c>
    </row>
    <row r="66" spans="1:35" x14ac:dyDescent="0.25">
      <c r="A66" s="26">
        <v>60</v>
      </c>
      <c r="B66" s="10" t="s">
        <v>561</v>
      </c>
      <c r="C66" s="10" t="s">
        <v>623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>
        <v>1.8</v>
      </c>
      <c r="AH66" s="11"/>
      <c r="AI66" s="2">
        <f t="shared" si="0"/>
        <v>1.8</v>
      </c>
    </row>
    <row r="67" spans="1:35" x14ac:dyDescent="0.25">
      <c r="A67" s="26">
        <v>61</v>
      </c>
      <c r="B67" s="10" t="s">
        <v>561</v>
      </c>
      <c r="C67" s="10" t="s">
        <v>624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>
        <v>1.1000000000000001</v>
      </c>
      <c r="AH67" s="11"/>
      <c r="AI67" s="2">
        <f t="shared" si="0"/>
        <v>1.1000000000000001</v>
      </c>
    </row>
    <row r="68" spans="1:35" x14ac:dyDescent="0.25">
      <c r="A68" s="26">
        <v>62</v>
      </c>
      <c r="B68" s="14" t="s">
        <v>551</v>
      </c>
      <c r="C68" s="10" t="s">
        <v>625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1.3</v>
      </c>
      <c r="AH68" s="11"/>
      <c r="AI68" s="2">
        <f t="shared" si="0"/>
        <v>1.3</v>
      </c>
    </row>
    <row r="69" spans="1:35" x14ac:dyDescent="0.25">
      <c r="A69" s="26">
        <v>63</v>
      </c>
      <c r="B69" s="10" t="s">
        <v>353</v>
      </c>
      <c r="C69" s="53" t="s">
        <v>354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0.2</v>
      </c>
      <c r="AH69" s="11"/>
      <c r="AI69" s="2">
        <f t="shared" si="0"/>
        <v>0.2</v>
      </c>
    </row>
    <row r="70" spans="1:35" x14ac:dyDescent="0.25">
      <c r="A70" s="26">
        <v>64</v>
      </c>
      <c r="B70" s="10" t="s">
        <v>353</v>
      </c>
      <c r="C70" s="53" t="s">
        <v>626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>
        <v>0.2</v>
      </c>
      <c r="AH70" s="11"/>
      <c r="AI70" s="2">
        <f t="shared" si="0"/>
        <v>0.2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0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tabSelected="1" zoomScaleNormal="100" workbookViewId="0">
      <pane xSplit="3" topLeftCell="D1" activePane="topRight" state="frozen"/>
      <selection pane="topRight" activeCell="B108" sqref="B108:C11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2023-12-01T10:53:50Z</dcterms:modified>
</cp:coreProperties>
</file>