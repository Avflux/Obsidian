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always" codeName="EstaPasta_de_trabalho" defaultThemeVersion="124226"/>
  <workbookProtection workbookPassword="CF6C" lockStructure="1"/>
  <bookViews>
    <workbookView xWindow="0" yWindow="0" windowWidth="18825" windowHeight="1185" tabRatio="798" activeTab="6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42" l="1"/>
  <c r="AI107" i="38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7" i="44" s="1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6" l="1"/>
  <c r="AI107" i="41"/>
  <c r="AI107" i="48"/>
</calcChain>
</file>

<file path=xl/sharedStrings.xml><?xml version="1.0" encoding="utf-8"?>
<sst xmlns="http://schemas.openxmlformats.org/spreadsheetml/2006/main" count="878" uniqueCount="390">
  <si>
    <t>Dias</t>
  </si>
  <si>
    <t>Item</t>
  </si>
  <si>
    <t>Descrição</t>
  </si>
  <si>
    <t>Atividade</t>
  </si>
  <si>
    <t>Total</t>
  </si>
  <si>
    <t>Siemens-PG 1023-CGD-Executivo-Elétrico-Setor 230kV--</t>
  </si>
  <si>
    <t>Siemens-PG 1023-NTD-Executivo-Elétrico-Setor 230kV--</t>
  </si>
  <si>
    <t>Siemens-PG 3881-PRI-Executivo-Elétrico-Setor 69kV--</t>
  </si>
  <si>
    <t>Siemens-PG 4121-PRD-Executivo-Elétrico-Conforme Construído--</t>
  </si>
  <si>
    <t>Siemens-PG 2900-IRE-Executivo-Elétrico-Conforme Construído--</t>
  </si>
  <si>
    <t>SE CAMPINA GRANDE - 230kV - VÃO 04V1 - FIAÇÃO</t>
  </si>
  <si>
    <t>SE NATAL II - 230kV - VÃO 04T2 - FUNCIONAL</t>
  </si>
  <si>
    <t>SE PIRIPIRI - 69kV - VÃO H 02T2 - INTERLIGAÇÃO</t>
  </si>
  <si>
    <t>SE NATAL II - 230kV - VÃO 04T1 - FUNCIONAL</t>
  </si>
  <si>
    <t>SE NATAL II - 230kV - VÃO 04T2 - INTERLIGAÇÃO</t>
  </si>
  <si>
    <t>SE PIRIPIRI - 69kV - VÃO J 02J2 - FUNCIONAL</t>
  </si>
  <si>
    <t>SE PIRIPIRI - 69kV - VÃO J 02J2 - INTERLIGAÇÃO</t>
  </si>
  <si>
    <t>SE NATAL II - 230kV - VÃO 04T2 - FIAÇÃO</t>
  </si>
  <si>
    <t>SE NATAL II - 230kV - VÃO 04T3 - FIAÇÃO</t>
  </si>
  <si>
    <t>SE PIRAPAMA - 230kV - SAGE-N2 - ARQUITETURA GERAL</t>
  </si>
  <si>
    <t>SE NATAL II - 230kV - VÃO 04T3 - FUNCIONAL</t>
  </si>
  <si>
    <t>69kV - UNIDADE DE CONTROLE - FUNCIONAL</t>
  </si>
  <si>
    <t>69kV - UNIDADE DE CONTROLE - INTERLIGAÇÃO</t>
  </si>
  <si>
    <t>69kV - UNIDADE DE CONTROLE - FIAÇÃO</t>
  </si>
  <si>
    <t>Siemens-PG 1023-NTD-Executivo-Elétrico-Setor 69kV--</t>
  </si>
  <si>
    <t>SE NATAL II - SETOR 69kV - VÃO 02T2 - FIAÇÃO</t>
  </si>
  <si>
    <t>SE PIRIPIRI - 69kV - VÃO 02T1 - FUNCIONAL</t>
  </si>
  <si>
    <t>Siemens-PG 2900-SNB-Executivo-Elétrico-Setor 69kV--</t>
  </si>
  <si>
    <t>SE SENHOR DO BONFIM II - VÃO 04T1 - FIAÇÃO</t>
  </si>
  <si>
    <t>SE SENHOR DO BONFIM II - VÃO 04T1 - FUNCIONAL</t>
  </si>
  <si>
    <t>SE PIRIPIRI - 69kV - VÃO 02A1 - FUNCIONAL</t>
  </si>
  <si>
    <t>Siemens-PG 2900-JZD-Executivo-Elétrico-Setor 230kV--</t>
  </si>
  <si>
    <t>SE JUAZEIRO DA BAIA II - SETOR 230kV - VÃO LT 04T1 - FIAÇÃO</t>
  </si>
  <si>
    <t>Siemens-PG 2900-SNB-Executivo-Elétrico-Setor 230kV--</t>
  </si>
  <si>
    <t>SE SENHOR DO BONFIM II - VÃO 04N2 - FUNCIONAL</t>
  </si>
  <si>
    <t>SE JUAZEIRO DA BAIA II - SETOR 230kV - VÃO LT 04T1 - FUNCIONAL</t>
  </si>
  <si>
    <t>SE SENHOR DO BONFIM II - VÃO 04N2 - INTERLIGAÇÃO</t>
  </si>
  <si>
    <t>SE CAMPINA GRANDE - 230kV - VÃO 04L3 - INTERLIGAÇÃO/FUNCIONAL</t>
  </si>
  <si>
    <t>SE NATAL II - 230kV - VÃO 04T3 - INTERLIGAÇÃO</t>
  </si>
  <si>
    <t>Siemens-PG 1023-CGD-Executivo-Elétrico-Setor 69kV--</t>
  </si>
  <si>
    <t>SE CAMPINA GRANDE - SETOR 69kV - VÃO 02J4 - INTERLIGAÇÃO/FIAÇÃO</t>
  </si>
  <si>
    <t>SE NATAL II - 230kV - 04T3 - FUNCIONAL</t>
  </si>
  <si>
    <t>SE NATAL II - 230kV - 04T3 - INTERLIGAÇÃO</t>
  </si>
  <si>
    <t>SE CAMPINA GRANDE II - 69kV - 02J4 - FIAÇÃO</t>
  </si>
  <si>
    <t>SE CAMPINA GRANDE II - 69kV - 02J4 - FUNCIONAL</t>
  </si>
  <si>
    <t>SE CAMPINA GRANDE II - 69kV - 02J4 - INTERLIGAÇÃO</t>
  </si>
  <si>
    <t>SE JUAZEIRO DA BAIA II - 230kV - 04T2 - FUNCIONAL</t>
  </si>
  <si>
    <t>SE JUAZEIRO DA BAIA II - 230kV - 04T2 - FIAÇÃO</t>
  </si>
  <si>
    <t>SE JUAZEIRO DA BAIA II - 230kV - 04T3 - FUNCIONAL</t>
  </si>
  <si>
    <t>SE JUAZEIRO DA BAIA II - 230kV - 04N2 - INTERLIGAÇÃO</t>
  </si>
  <si>
    <t>Siemens-PG 2900-JZD-Executivo-Elétrico-Setor 69kV--</t>
  </si>
  <si>
    <t>SE JUAZEIRO DA BAIA II - 69kV - 02C2 - FUNCIONAL</t>
  </si>
  <si>
    <t>SE PIRIPIRI - 69kV - 02D1 - FUNCIONAL</t>
  </si>
  <si>
    <t>SE JUAZEIRO DA BAIA II - 69kV - 02T1 - FIAÇÃO</t>
  </si>
  <si>
    <t>SE JUAZEIRO DA BAIA II - 230kV - 04T1 - FIAÇÃO</t>
  </si>
  <si>
    <t>SE JUAZEIRO DA BAIA II - 69kV - 02C2 - INTERLIGAÇÃO</t>
  </si>
  <si>
    <t>SE JUAZEIRO DA BAIA II - 69kV - 02C2 - FIAÇÃO</t>
  </si>
  <si>
    <t>Siemens-PG 4121-GNN-Executivo-Elétrico-Setor 69kV--</t>
  </si>
  <si>
    <t>SE GOIANINHA - 69kV - 02M7 - FUCIONAL/FIAÇÃO</t>
  </si>
  <si>
    <t>SE JUAZEIRO DA BAIA II - 69kV - 02C3 - FUNCIONAL</t>
  </si>
  <si>
    <t>Siemens-PG 1023-CGD-Executivo-Elétrico-Setor 138kV--</t>
  </si>
  <si>
    <t>SE CAMPINA GRANDE II - 13,8kV - 03L1 - FIAÇÃO</t>
  </si>
  <si>
    <t>SE JUAZEIRO DA BAIA II - 69kV - 02C3 - INTERLIGAÇÃO</t>
  </si>
  <si>
    <t>SE JUAZEIRO DA BAIA II - 230kV - 04N1 - FUNCIONAL</t>
  </si>
  <si>
    <t>SE JUAZEIRO DA BAIA II - 69kV - 02C4 - FUNCIONAL</t>
  </si>
  <si>
    <t>SE NATAL II - 230kV - 04T2 - INTERLIGAÇÃO</t>
  </si>
  <si>
    <t>SE JUAZEIRO DA BAIA II - 230kV - 04T3 - INTERLIGAÇÃO</t>
  </si>
  <si>
    <t>SE JUAZEIRO DA BAIA II - 230kV - 04T3 - FIAÇÃO</t>
  </si>
  <si>
    <t>SE JUAZEIRO DA BAIA II - 69kV - 02C5 - FUNCIONAL</t>
  </si>
  <si>
    <t>SE JUAZEIRO DA BAIA II - 69kV - 02C6 - FUNCIONAL</t>
  </si>
  <si>
    <t>SE JUAZEIRO DA BAIA II - 69kV - 02C6 - FIAÇÃO</t>
  </si>
  <si>
    <t>SE JUAZEIRO DA BAIA II - 69kV - 02C7 - FUNCIONAL</t>
  </si>
  <si>
    <t>Siemens-PG 1023-NTD-Executivo-Elétrico-Conforme Construído--</t>
  </si>
  <si>
    <t xml:space="preserve">SE NATAL II - NÍVEL 2 - FUNCIONAL </t>
  </si>
  <si>
    <t>SE JUAZEIRO DA BAIA II - 69kV - 02C7 - INTERLIGAÇÃO</t>
  </si>
  <si>
    <t>SE JUAZEIRO DA BAIA II - 69kV - 02C7 - FIAÇÃO</t>
  </si>
  <si>
    <t>SE JUAZEIRO DA BAIA II - 69kV - 02C8 - INTERLIGAÇÃO</t>
  </si>
  <si>
    <t>SE PIRIPIRI - 69kV - VÃO K - FUNCIONAL</t>
  </si>
  <si>
    <t>SE PIRIPIRI - 69kV - VÃO K - INTERLIGAÇÃO</t>
  </si>
  <si>
    <t>SE JUAZEIRO DA BAIA II - 69kV - 12D1 - FUNCIONAL</t>
  </si>
  <si>
    <t>SE NATAL II - 230kV - 04T1 - FIAÇÃO</t>
  </si>
  <si>
    <t>SE NATAL II - 230kV - 04T1 - FUNCIONAL</t>
  </si>
  <si>
    <t>SE NATAL II - 230kV - 04T1 - INTERLIGAÇÃO</t>
  </si>
  <si>
    <t>SE NATAL II - 69kV - 12D1 - FUNCIONAL/FIAÇÃO</t>
  </si>
  <si>
    <t>SE JUAZEIRO DA BAIA II - 69kV - 12D1 - FIAÇÃO</t>
  </si>
  <si>
    <t>SE NATAL II - 230kV - 04T3 - FIAÇÃO</t>
  </si>
  <si>
    <t>SE NATAL II - 69kV - 04T3 - FUNCIONAL</t>
  </si>
  <si>
    <t>SE NATAL II - 69kV - 04T3 - FIAÇÃO</t>
  </si>
  <si>
    <t>SE NATAL II - 69kV - 04T3 - INTERLIGAÇÃO</t>
  </si>
  <si>
    <t>SE JUAZEIRO DA BAIA II - 69kV - 12D1 - INTERLIGAÇÃO</t>
  </si>
  <si>
    <t>SE JUAZEIRO DA BAIA II - 230kV - 14D1 - FUNCIONAL</t>
  </si>
  <si>
    <t>SE JUAZEIRO DA BAIA II - 69kV - 02C3 - FIAÇÃO</t>
  </si>
  <si>
    <t>SE JUAZEIRO DA BAIA II - 69kV - 02C4 - INTERLIGAÇÃO</t>
  </si>
  <si>
    <t>SE JUAZEIRO DA BAIA II - 69kV - 02C4 - FIAÇÃO</t>
  </si>
  <si>
    <t>SE JUAZEIRO DA BAIA II - 69kV - 02T3 - FUNCIONAL</t>
  </si>
  <si>
    <t>SE JUAZEIRO DA BAIA II - 69kV - 02C8 - FUNCIONAL</t>
  </si>
  <si>
    <t>SE NATAL II - 230kV - 04T2 - FUNCIONAL</t>
  </si>
  <si>
    <t>SE NATAL II - 230kV - 04T2 - FIAÇÃO</t>
  </si>
  <si>
    <t>SE JUAZEIRO DA BAIA II - 69kV - 02C5 - FIAÇÃO</t>
  </si>
  <si>
    <t>SE JUAZEIRO DA BAIA II - 69kV - 02C5 - INTERLIGAÇÃO</t>
  </si>
  <si>
    <t>SE JUAZEIRO DA BAIA II - 69kV - 02C8 - FIAÇÃO</t>
  </si>
  <si>
    <t>SE JUAZEIRO DA BAIA II - 69kV - 02C6 - INTERLIGAÇÃO</t>
  </si>
  <si>
    <t>SE JUAZEIRO DA BAIA II - 230kV - 14D1 - INTERLIGAÇÃO</t>
  </si>
  <si>
    <t>SE CAMPINA GRANDE II - 230kV - 04T6 - FUNCIONAL</t>
  </si>
  <si>
    <t>SE CAMPINA GRANDE II - 230kV - 04T6 - FIAÇÃO</t>
  </si>
  <si>
    <t>SE NATALII - 69kV - 02T7 - INTERLIGAÇÃO</t>
  </si>
  <si>
    <t>SE CAMPINA GRANDE - SETOR 69kV - 02J3 - FUNCIONAL</t>
  </si>
  <si>
    <t>SE JUAZEIRO DA BAIA II - 230kV - 14D1 - FIAÇÃO</t>
  </si>
  <si>
    <t>SE NATALII - 69kV - 02T6 - INTERLIGAÇÃO</t>
  </si>
  <si>
    <t>SE CAMPINA GRANDE II - 69kV - 02J1 - FUNCIONAL</t>
  </si>
  <si>
    <t>SE CAMPINA GRANDE II - 69kV - 02J2 - FUNCIONAL</t>
  </si>
  <si>
    <t>SE JUAZEIRO II - 69kV - UNIFILAR</t>
  </si>
  <si>
    <t>SE CAMPO FORMOSO - UNIFILAR</t>
  </si>
  <si>
    <t>SE JUAZEIRO DA BAIA II - 69kV - 02T2 - FUNCIONAL</t>
  </si>
  <si>
    <t>SE CAMPINA GRANDE II - 69kV - 02J2 - FIAÇÃO</t>
  </si>
  <si>
    <t>SE CAMPINA GRANDE II - 69kV - 02J2 - INTERLIGAÇÃO</t>
  </si>
  <si>
    <t>SE CAMPINA GRANDE II - 69kV - 02T3 - FIAÇÃO</t>
  </si>
  <si>
    <t>SE CAMPINA GRANDE II - 69kV - 02T4 - INTERLIGAÇÃO</t>
  </si>
  <si>
    <t>SE CAMPINA GRANDE II - 13,8kV - 03T2 - INTERLIGAÇÃO</t>
  </si>
  <si>
    <t>SE CAMPINA GRANDE II - 69kV - 02T3 - INTERLIGAÇÃO</t>
  </si>
  <si>
    <t>Siemens-PG 1023-CGD-Executivo-Elétrico-Serv. Auxiliares--</t>
  </si>
  <si>
    <t>SE CAMPINA GRANDE II - SERV AUXILIARES - INTERLIGAÇÃO</t>
  </si>
  <si>
    <t>Siemens-PG 1023-NTD-Executivo-Elétrico-Serv. Auxiliares--</t>
  </si>
  <si>
    <t>SE NATAL II - SERV. AUXILIARES - INTERLIGAÇÃO</t>
  </si>
  <si>
    <t>SE CAMPINA GRANDE II - 13,8kV - 03T2 - FUNCIONAL</t>
  </si>
  <si>
    <t>Chesf-Pré Leilão 01_2023-Lote 1-Básico-Elétrico-Unifilar de Proteção--</t>
  </si>
  <si>
    <t>SE BURITIRAMA - 500kV - UNIFILAR</t>
  </si>
  <si>
    <t>SE JUAZEIRO II - 500kV - UNIFILAR</t>
  </si>
  <si>
    <t>SE CAMPINA GRANDE II - 230kV - 04D1 - FUNCIONAL</t>
  </si>
  <si>
    <t>SE CAMPINA GRANDE II - 230kV - 04D1 - FIAÇÃO</t>
  </si>
  <si>
    <t>Siemens-PG 3881-SJI-Executivo-Elétrico-Setor 500kV--</t>
  </si>
  <si>
    <t>SE SÃO JOÃO DO PIAUI - 500kV - 05T1 - FUNCIONAL</t>
  </si>
  <si>
    <t>SE CAMPINA GRANDE II - 69kV - 02J1 - INTERLIGAÇÃO</t>
  </si>
  <si>
    <t>Siemens-PG 3881-SJI-Executivo-Elétrico-Setor 69kV--</t>
  </si>
  <si>
    <t>SE SÃO JOÃO DO PIAUI - 69kV - 02J1 - FUNCIONAL</t>
  </si>
  <si>
    <t>SE CAMPINA GRANDE II - 138kV - 03T1 - FIAÇÃO</t>
  </si>
  <si>
    <t>SE CAMPINA GRANDE II - 230kV - 04D1 - INTERLIGAÇÃO</t>
  </si>
  <si>
    <t>SE CAMPINA GRANDE II - 69kV - 02T3 - FUNCIONAL</t>
  </si>
  <si>
    <t>SE CAMPINA GRANDE II - 138kV - 03D1 - FIAÇÃO</t>
  </si>
  <si>
    <t>Siemens-PG 3881-TSA-Executivo-Elétrico-Setor 230kV--</t>
  </si>
  <si>
    <t>SE TERESINA - 230kV - 04S1 - FIAÇÃO</t>
  </si>
  <si>
    <t>Siemens-PG 2900-SOB-Executivo-Elétrico-Conforme Construído--</t>
  </si>
  <si>
    <t>SE SOBRADINHO - 500kV - 05C5 - FUNCIONAL</t>
  </si>
  <si>
    <t>Siemens-PG 2900-JDM-Executivo-Elétrico-Setor 69kV--</t>
  </si>
  <si>
    <t>SE JARDIM - 69kV - 02C4 - FIAÇÃO</t>
  </si>
  <si>
    <t>SE JARDIM - 69kV - 02C4 - INTERLIGAÇÃO</t>
  </si>
  <si>
    <t>SE JARDIM - 69kV - 02C8 - FUNCIONAL</t>
  </si>
  <si>
    <t>SE JARDIM - 69kV - 02C8 - FIAÇÃO</t>
  </si>
  <si>
    <t>SE CAMPINA GRANDE II - 138kV - 03T1 - INTERLIGAÇÃO</t>
  </si>
  <si>
    <t>SE CAMPINA GRANDE II - 69kV - 02T4 - FUCIONAL</t>
  </si>
  <si>
    <t>SE JARDIM - 69kV - 02C7 - FUNCIONAL</t>
  </si>
  <si>
    <t>SE JUAZEIRO DA BAIA II - 69kV - 02T2 - FIAÇÃO</t>
  </si>
  <si>
    <t>SE JUAZEIRO DA BAIA II - 69kV - 02T2 - INTERLIGAÇÃO</t>
  </si>
  <si>
    <t>SE CAMPINA GRANDE II - 69kV - 02D1 - FUNCIONAL</t>
  </si>
  <si>
    <t>SE CAMPINA GRANDE II - 138kV - 03T2 - FUNCIONAL</t>
  </si>
  <si>
    <t>SE BOM JESUS DA LAPA - CASA DE COMANDO</t>
  </si>
  <si>
    <t>SE CAMPINA GRANDE II - 138kV - 03T2 - INTERLIGAÇÃO</t>
  </si>
  <si>
    <t>SE CAMPINA GRANDE II - 69kV - 02D1 - FIAÇÃO</t>
  </si>
  <si>
    <t>SE CAMPINA GRANDE II - 69kV - 02D1 - INTERLIGAÇÃO</t>
  </si>
  <si>
    <t>Siemens-PG 2900-JDM-Executivo-Elétrico-Conforme Construído--</t>
  </si>
  <si>
    <t>SE JARDIM - 69kV - VÃO N e P - FUNCIONAL</t>
  </si>
  <si>
    <t>SE JARDIM - 69kV - VÃO N e P - INTERLIGAÇÃO</t>
  </si>
  <si>
    <t>SE JARDIM - 69kV - VÃO N e P - FIAÇÃO</t>
  </si>
  <si>
    <t>SE CAMPINA GRANDE II - 138kV - 03D1 - INTERLIGAÇÃO</t>
  </si>
  <si>
    <t>SE BURITIZEIRO - NÍVEL 2 - AQUITETURA SIMPLIFICADA</t>
  </si>
  <si>
    <t>SE SOLAR ARINOS - DIAGRAMA CONSTRUTIVO</t>
  </si>
  <si>
    <t>GE GRID-CS Arinos-Arinos II-Executivo-Eletromec.-Cx. De Ligação de TPs, TCs e Caixa de distribuição--</t>
  </si>
  <si>
    <t>SE GENTIO DO OURO - 500kV - DIAGRAMA UNIFILAR</t>
  </si>
  <si>
    <t>SE CAMPO FORMOSO - 500kV - DIAGRAMA UNIFILAR</t>
  </si>
  <si>
    <t>SE BARRA - 500kV - DIAGRAMA UNIFILAR</t>
  </si>
  <si>
    <t>SE JUAZEIRO - 230kV - 14D1 - FIAÇÃO</t>
  </si>
  <si>
    <t>SE CORRENTINA - 500kV - DIAGRAMA UNIFILAR</t>
  </si>
  <si>
    <t>SE BURITIZEIRO - 500kV - DIAGRAMA UNIFILAR</t>
  </si>
  <si>
    <t>SE BURITIRAMA - 500kV - DIAGRAMA UNIFILAR</t>
  </si>
  <si>
    <t>SE JUAZEIRO - 230kV - 04T1 - FUNCIONAL</t>
  </si>
  <si>
    <t>SE JUAZEIRO - 230kV - 04T1 - INTERLIGAÇÃO</t>
  </si>
  <si>
    <t>SE NATAL II - 69kV - 02T7 - FUNCIONAL</t>
  </si>
  <si>
    <t>SE NATAL II - 69kV - 02T7 - INTERLIGAÇÃO</t>
  </si>
  <si>
    <t>SE ARINOS - 500kV - DIAGRAMA UNIFILAR</t>
  </si>
  <si>
    <t>SE BOM JESUS DA LAPA - 500kV - DIAGRAMA UNIFILAR</t>
  </si>
  <si>
    <t>SE CAMPINA GRANDE II - 138kV - 03T1 - FUNCIONAL</t>
  </si>
  <si>
    <t>SE JARDIM - 69kV - 12C4 - FUNCIONAL</t>
  </si>
  <si>
    <t>SE SÃO JOÃO DO PIAUÍ - 500kV - 05T1 - INTERLIGAÇÃO</t>
  </si>
  <si>
    <t>SE SÃO JOÃO DO PIAUÍ - 69kV - 02T3 - FUNCIONAL</t>
  </si>
  <si>
    <t>SE SÃO JOÃO DO PIAUÍ - 69kV - 02T3 - FIAÇÃO</t>
  </si>
  <si>
    <t>SE SÃO JOÃO DO PIAUÍ - 69kV - 02T4 - FUNCIONAL</t>
  </si>
  <si>
    <t>SE SÃO JOÃO DO PIAUÍ - 69kV - 02T4 - FIAÇÃO</t>
  </si>
  <si>
    <t>SE SÃO JOÃO DO PIAUÍ - 69kV - 02T3 - INTERLIGAÇÃO</t>
  </si>
  <si>
    <t>SE SÃO JOÃO DO PIAUÍ - 69kV - 02T4 - INTERLIGAÇÃO</t>
  </si>
  <si>
    <t>Siemens-PG 2900-SNB-Executivo-Elétrico-Conforme Construído--</t>
  </si>
  <si>
    <t>SE SENHOR DO BOMFIM - 230kV - 04L1 - FIAÇÃO</t>
  </si>
  <si>
    <t>SE CAMPINA GRANDE - 230kV - 04T6 - FUNCIONAL</t>
  </si>
  <si>
    <t>SE CAMPINA GRANDE - 230kV - 04T6 - INTERLIGAÇÃO</t>
  </si>
  <si>
    <t>SE CAMPINA GRANDE - 230kV - 04T3 - FUNCIONAL</t>
  </si>
  <si>
    <t>SE CAMPINA GRANDE - 230kV - 04T3 - FIAÇÃO</t>
  </si>
  <si>
    <t>Siemens-PG 2900-JZD-Executivo-Elétrico-Serv. Auxiliares--</t>
  </si>
  <si>
    <t>SE JUAZEIRO DA BAIA II - SERVIÇO AUXILIAR CA - INTERLIGAÇÃO</t>
  </si>
  <si>
    <t>SE JUAZEIRO DA BAIA II - 69kV - 02A1 - FUNCIONAL</t>
  </si>
  <si>
    <t>SE JUAZEIRO DA BAIA II - 69kV - 02A1 - FIAÇÃO</t>
  </si>
  <si>
    <t>SE CAMPINA GRANDE - 230kV - 04T1 - INTERLIGAÇÃO</t>
  </si>
  <si>
    <t>SE SÃO JOÃO DO PIAUÍ - 69kV - 02D1 - FUNCIONAL</t>
  </si>
  <si>
    <t>SE SÃO JOÃO DO PIAUÍ - 69kV - 02D1 - FIAÇÃO</t>
  </si>
  <si>
    <t>SE JUAZEIRO DA BAIA II - 69kV - 02T1 - INTERLIGAÇÃO</t>
  </si>
  <si>
    <t>SE SÃO JOÃO DO PIAUÍ - 69kV - 02D1 - INTERLIGAÇÃO</t>
  </si>
  <si>
    <t>SE RIO DAS ÁGUAS - 500kV - DIAGRAMA UNIFILAR</t>
  </si>
  <si>
    <t>Siemens-PG 2900-SOB-Executivo-Eletromec.-Conforme Construído--</t>
  </si>
  <si>
    <t>SE SOBRADINHO - 500kV - 05C3 - FUNCIONAL</t>
  </si>
  <si>
    <t>Siemens-PG 4121-RLD-Executivo-Elétrico-Setor 230kV--</t>
  </si>
  <si>
    <t>Siemens-PG 4121-RLD-Executivo-Elétrico-Setor 69kV--</t>
  </si>
  <si>
    <t>SE RIO LARGO - 69kV - 02D1 - FUNCIONAL</t>
  </si>
  <si>
    <t>SE RIO LARGO - 230kV - 04S2 - FUNCIONAL</t>
  </si>
  <si>
    <t>SE RIO LARGO - 69kV - 02D1 - INTERLIGAÇÃO</t>
  </si>
  <si>
    <t>SE RIO LARGO - 230kV - 04S2 - FIAÇÃO</t>
  </si>
  <si>
    <t>Siemens-PG 4121-RCD-Executivo-Elétrico-Setor 500kV--</t>
  </si>
  <si>
    <t>SE RECIFE II - 500kV - VÃO D - FUNCIONAL</t>
  </si>
  <si>
    <t>SE RIO LARGO - 230kV - 04S2 - INTERLIGAÇÃO</t>
  </si>
  <si>
    <t>SE RIO LARGO - 230kV - 04S3 - FUNCIONAL</t>
  </si>
  <si>
    <t>SE RIO LARGO - 230kV - 04S3 - INTERLIGAÇÃO</t>
  </si>
  <si>
    <t>SE RIO LARGO - 230kV - 04S3 - FIAÇÃO</t>
  </si>
  <si>
    <t>SE RIO LARGO - 230kV - 04S4 - FUNCIONAL</t>
  </si>
  <si>
    <t>SE RECIFE II - 500kV - VÃO B - FUNCIONAL</t>
  </si>
  <si>
    <t>SE JUAZEIRO DA BAIA II - 69kV - 02T1 - FUNCIONAL / INTERLIGAÇÃO</t>
  </si>
  <si>
    <t>SE CAMPINA GRANDE - SERVIÇO AUXILIAR</t>
  </si>
  <si>
    <t>Siemens-PG 2900-CTG-Executivo-Elétrico-Setor 69kV--</t>
  </si>
  <si>
    <t>SE COTEGIPE - 69kV - 12D1 - FUNCIONAL</t>
  </si>
  <si>
    <t>SE JARDIM - 69kV - VÃO R/S - FUNCIONAL</t>
  </si>
  <si>
    <t>SE JARDIM - 69kV - 02D1 - INTERLIGAÇÃO</t>
  </si>
  <si>
    <t>Siemens-PG 2900-SOB-Executivo-Elétrico-Setor 500kV--</t>
  </si>
  <si>
    <t>SE SOBRADINHO - 500kV - 05C4 - FUNCIONAL</t>
  </si>
  <si>
    <t>SE RECIFE II - 500kV - VÃO B - FIAÇÃO</t>
  </si>
  <si>
    <t>SE RECIFE II - 500kV - VÃO C - FUNCIONAL</t>
  </si>
  <si>
    <t>SE RECIFE II - 500kV - VÃO C - FIAÇÃO</t>
  </si>
  <si>
    <t>SE SOBRADINHO - 500kV - VÃO D - FUNCIONAL</t>
  </si>
  <si>
    <t>SE RECIFE II - 500kV - VÃO D - FIAÇÃO</t>
  </si>
  <si>
    <t>SE CAMPINA GRANDE II - 69kV - 02J3 - INTERLIGAÇÃO</t>
  </si>
  <si>
    <t>SE CAMPINA GRANDE II - 69kV - 02J3 - FUNCIONAL</t>
  </si>
  <si>
    <t>SE CAMPINA GRANDE II - 138kV - 03D1 - FUNCIONAL</t>
  </si>
  <si>
    <t>SE RIO LARGO - 230kV - 04S4 - FIAÇÃO</t>
  </si>
  <si>
    <t>SE CAMPINA GRANDE II - 138kV - 03L2 - FUNCIONAL</t>
  </si>
  <si>
    <t>SE CAMPINA GRANDE II - 138kV - 03L2 - INTERLIGAÇÃO</t>
  </si>
  <si>
    <t>SE SENHOR DO BONFIM - 230kV - 04L1 - FIAÇÃO</t>
  </si>
  <si>
    <t>SE JUAZEIRO DA BAIA II - SETOR 230kV - 4UA12-3 - FUNCIONAL</t>
  </si>
  <si>
    <t>SE JUAZEIRO DA BAIA II - SETOR 230kV - VÃO LT 04T4 - FUNCIONAL</t>
  </si>
  <si>
    <t>SE JUAZEIRO DA BAIA II - SETOR 230kV - VÃO LT 04T4 - INTERLIGAÇÃO</t>
  </si>
  <si>
    <t>SE RIO LARGO - 230kV - 04S4 - INTERLIGAÇÃO</t>
  </si>
  <si>
    <t>SE COTEGIPE - 69kV - VÃO K E T - FUNCIONAL</t>
  </si>
  <si>
    <t>SE RIO LARGO - 230kV - 04S5 - FUNCIONAL</t>
  </si>
  <si>
    <t>SE RECIFE II - 500kV - VÃO C - INTERLIGAÇÃO</t>
  </si>
  <si>
    <t>SE RIO LARGO - 230kV - 04S5 - FIAÇÃO</t>
  </si>
  <si>
    <t>Siemens-PG 2900-CTG-Executivo-Elétrico-Setor 230kV--</t>
  </si>
  <si>
    <t>SE COTEGIPE -230kV - 04L2 - FIAÇÃO</t>
  </si>
  <si>
    <t>SE COTEGIPE -230kV - 04L2 - INTERLIGAÇÃO</t>
  </si>
  <si>
    <t>SE RIO LARGO - 230kV - 04S5 - INTERLIGAÇÃO</t>
  </si>
  <si>
    <t>Siemens-PG 3881-PIC-Executivo-Elétrico-Conforme Construído--</t>
  </si>
  <si>
    <t>SE PICOS - 69kV - VÃO D - FUNCIONAL</t>
  </si>
  <si>
    <t>SE RIO LARGO - 230kV - VÃO K - FUNCIONAL</t>
  </si>
  <si>
    <t>SE COTEGIPE -230kV - 04T4 - FIAÇÃO</t>
  </si>
  <si>
    <t>SE COTEGIPE -230kV - VÃO H - FIAÇÃO</t>
  </si>
  <si>
    <t>SE RIO LARGO - 230kV - VÃO K - FIAÇÃO</t>
  </si>
  <si>
    <t>Siemens-PG 4121-RCD-Executivo-Elétrico-Serv. Auxiliares--</t>
  </si>
  <si>
    <t>SE RECIFE II - 500kV - SERVIÇO AUXILIAR CC</t>
  </si>
  <si>
    <t>SE RIO LARGO - 230kV - VÃO G - FUNCIONAL</t>
  </si>
  <si>
    <t>SE RIO LARGO - 230kV - VÃO G - INTERLIGAÇÃO</t>
  </si>
  <si>
    <t>SE RECIFE II - 500kV - VÃO D - INTERLIGAÇÃO</t>
  </si>
  <si>
    <t>SE RECIFE II - 500kV - VÃO D - PLANILHAS DE CABOS</t>
  </si>
  <si>
    <t>SE RIO LARGO - 230kV - VÃO K -  PLANILHAS DE CABOS</t>
  </si>
  <si>
    <t>SE COTEGIPE -230kV - VÃO E - FUNCIONAL</t>
  </si>
  <si>
    <t>SE JUAZEIRO DA BAIA II - 230kV - CAIXA DE JUNÇÃO - FUNCIONAL</t>
  </si>
  <si>
    <t>SE RIO LARGO - 230kV - QRA - INTERLIGAÇÃO</t>
  </si>
  <si>
    <t>SE RIO LARGO - 69kV - VÃO N - FUNCIONAL</t>
  </si>
  <si>
    <t>SE RIO LARGO - 69kV - VÃO N - INTERLIGAÇÃO</t>
  </si>
  <si>
    <t>SE SOBRADINHO - 500kV - VÃO F - FUNCIONAL</t>
  </si>
  <si>
    <t>SE SOBRADINHO - 500kV - VÃO F - INTERLIGAÇÃO</t>
  </si>
  <si>
    <t>SE MIRUEIRA - 230kV - 14D1 - FUNCIONAL</t>
  </si>
  <si>
    <t>SE MIRUEIRA - 69kV - 02H2 - INTERLIGAÇÃO</t>
  </si>
  <si>
    <t>Siemens-PG 4121-MRR-Executivo-Elétrico-Conforme Construído--</t>
  </si>
  <si>
    <t>SE RECIFE II - 500kV - VÃO B - INTERLIGAÇÃO</t>
  </si>
  <si>
    <t>Siemens-PG 3881-MSD-Executivo-Elétrico-Setor 230kV--</t>
  </si>
  <si>
    <t>SE MOSSORÓ II -  230kV - VÃO P - FUNCIONAL</t>
  </si>
  <si>
    <t>SE RIO LARGO - 69kV - VÃO J - FUNCIONAL</t>
  </si>
  <si>
    <t>SE RIO LARGO - 69kV - VÃO J - FIAÇÃO</t>
  </si>
  <si>
    <t>SE RIO LARGO - 69kV - VÃO J - INTERLIGAÇÃO</t>
  </si>
  <si>
    <t>Siemens-PG 4121-MRR-Executivo-Elétrico-Setor 230kV--</t>
  </si>
  <si>
    <t>SE MIRUEIRA - 230kV - 04T1 - FIAÇÃO</t>
  </si>
  <si>
    <t>SE MIRUEIRA - 230kV - 04T1 - INTERLIGAÇÃO</t>
  </si>
  <si>
    <t>SE COTEGIPE - 230kV - 04L1 - FUNCIONAL</t>
  </si>
  <si>
    <t>SE MIRUEIRA - 230kV - 04T1 - FUNCIONAL</t>
  </si>
  <si>
    <t>Siemens-PG 4121-MRR-Executivo-Elétrico-Setor 69kV--</t>
  </si>
  <si>
    <t>SE MIRUEIRA - 69kV - 12D1 - FIAÇÃO</t>
  </si>
  <si>
    <t>SE MIRUEIRA - 69kV - 02T1 - FIAÇÃO</t>
  </si>
  <si>
    <t>SE RIO LARGO - 230kV - VÃO K - INTERLIGAÇÃO</t>
  </si>
  <si>
    <t>SE MIRUEIRA - 69kV - 02J3 - FUNCIONAL</t>
  </si>
  <si>
    <t>SE MIRUEIRA - 69kV - 02J3 - INTERLIGAÇÃO</t>
  </si>
  <si>
    <t>SE MIRUEIRA - 230kV - 14D1 - INTERLIGAÇÃO</t>
  </si>
  <si>
    <t>SE MOSSORÓ II -  230kV - VÃO P - INTERLIGAÇÃO</t>
  </si>
  <si>
    <t>CHESF-Angelim Els 69 kV-SE Angelim-Executivo-Elétrico-Diagrama Funcional Setor 69kV--</t>
  </si>
  <si>
    <t>CHESF-Angelim ELs 69 kV-SE Angelim-Executivo-Elétrico-Diagrama de Interligação de SPCS--</t>
  </si>
  <si>
    <t>SE COTEGIPE - 230kV - 04T2 - FUNCIONAL</t>
  </si>
  <si>
    <t>SE COTEGIPE - 230kV - 04T2 - FIAÇÃO</t>
  </si>
  <si>
    <t>SE ANGELIM - 69kV - 02J1 - FUNCIONAL</t>
  </si>
  <si>
    <t>SE ANGELIM - 69kV - 02J2 - FUNCIONAL</t>
  </si>
  <si>
    <t>SE ANGELIM - 69kV - 02J1 - INTERLIGAÇÃO</t>
  </si>
  <si>
    <t>SE ANGELIM - 69kV - 02J2 - INTERLIGAÇÃO</t>
  </si>
  <si>
    <t>Siemens-PG 3881-BES-Executivo-Elétrico-Setor 69kV--</t>
  </si>
  <si>
    <t>SE BOA ESPERANÇA - 69kV - 04T6 - FUNCIONAL</t>
  </si>
  <si>
    <t>Siemens-PG 3881-BES-Executivo-Elétrico-Setor 230kV--</t>
  </si>
  <si>
    <t>Usina de Boa Esperança - 230kV - 04V1 - INTERLIGAÇÃO</t>
  </si>
  <si>
    <t>SE BOA ESPERANÇA - 69kV - 04T6 - INTERLIGAÇÃO</t>
  </si>
  <si>
    <t>Siemens-PG 2900-JGR-Executivo-Elétrico-Setor 230kV--</t>
  </si>
  <si>
    <t>SE JAGUARARI - 230kV - 04N1 - FUNCIONAL</t>
  </si>
  <si>
    <t>TALDI-SEs Natal III e Paraíso-SE Paraíso-Executivo-Elétrica-Levantamento de Campo--</t>
  </si>
  <si>
    <t>NATAL III - 69kV - TALDI - CABANA</t>
  </si>
  <si>
    <t>SE MOSSORÓ II -  230kV - VÃO 04T1 - INTERLIGAÇÃO</t>
  </si>
  <si>
    <t>SE BOA ESPERANÇA - 230kV - 04V1 - FUNCIONAL</t>
  </si>
  <si>
    <t>SE BOA ESPERANÇA - 230kV - 04V1 - FIAÇÃO</t>
  </si>
  <si>
    <t>SE BOA ESPERANÇA - 230kV - 04V1 - INTERLIGAÇÃO</t>
  </si>
  <si>
    <t>SE COTEGIPE - 230kV - 04M6 - FUNCIONAL</t>
  </si>
  <si>
    <t>SE MOSSORÓ - 230kV - 04T1 - FIAÇÃO</t>
  </si>
  <si>
    <t>Siemens-PG 3881-MSD-Executivo-Elétrico-Setor 69kV--</t>
  </si>
  <si>
    <t>SE MOSSORÓ - 230kV - 04T2 - FUNCIONAL</t>
  </si>
  <si>
    <t>SE COTEGIPE - 230kV - 04M6 - FIAÇÃO</t>
  </si>
  <si>
    <t>All Energy-SE Ibicoara-SE Ibicoara EL 138 kV-Executivo-Elétrica-Arquitetura Digital--</t>
  </si>
  <si>
    <t>SE IBICOARA - ARQUITERURA GERAL- NÍVEL 2</t>
  </si>
  <si>
    <t>SE MOSSORÓ - 69kV - 02T1 - FUNCIONAL</t>
  </si>
  <si>
    <t>SE MOSSORÓ - 69kV - 02T1 - FIAÇÃO</t>
  </si>
  <si>
    <t>SE MOSSORÓ - 69kV - 02T1 - INTERLIGAÇÃO</t>
  </si>
  <si>
    <t>SE COTEGIPE - 230kV - 04T2 - INTERLIGAÇÃO</t>
  </si>
  <si>
    <t>SE MOSSORÓ - 69kV - 02T2 - FUNCIONAL</t>
  </si>
  <si>
    <t>SE MOSSORÓ - 69kV - 02T2 - FIAÇÃO</t>
  </si>
  <si>
    <t>SE MOSSORÓ - 69kV - 02T2 - INTERLIGAÇÃO</t>
  </si>
  <si>
    <t>SE MOSSORÓ - 230kV - 04T2 - FIAÇÃO</t>
  </si>
  <si>
    <t>SE BOA ESPERANÇA - 230kV - VÃO C - FUNCIONAL</t>
  </si>
  <si>
    <t>SE BOA ESPERANÇA - 230kV - VÃO C - FIAÇÃO</t>
  </si>
  <si>
    <t>SE BOA ESPERANÇA - 230kV - VÃO C - INTERLIGAÇÃO</t>
  </si>
  <si>
    <t>SE MOSSORÓ - 230kV - 04T2 - INTERLIGAÇÃO</t>
  </si>
  <si>
    <t>SE ANGELIM - 69kV - 02J1 - FIAÇÃO</t>
  </si>
  <si>
    <t>SE MIRUEIRA - 230kV - 04C4 - FIAÇÃO</t>
  </si>
  <si>
    <t>SE MIRUEIRA - 69kV - 02J4 - FUNCIONAL</t>
  </si>
  <si>
    <t>SE MIRUEIRA - 230kV - 04C4 - FUNCIONAL</t>
  </si>
  <si>
    <t>SE MIRUEIRA - 69kV - 02J4 - INTERLIGAÇÃO</t>
  </si>
  <si>
    <t>Siemens-PG 1023-ACD-Executivo-Elétrico-Setor 69kV--</t>
  </si>
  <si>
    <t>SE AÇU II - 69kV - 02F1 - FUNCIONAL</t>
  </si>
  <si>
    <t>SE AÇU II - 69kV - 02F4 - FUNCIONAL</t>
  </si>
  <si>
    <t>SE AÇU II - 69kV - 02F5 - FUNCIONAL</t>
  </si>
  <si>
    <t>SE AÇU II - 69kV - 02D1 - FUNCIONAL</t>
  </si>
  <si>
    <t>SE AÇU II - 69kV - 02T4 - FUNCIONAL</t>
  </si>
  <si>
    <t>SE AÇU II - 69kV - 02T5 - FUNCIONAL</t>
  </si>
  <si>
    <t>SE COTEGIPE - 230kV - 14D1 - INTERLIGAÇÃO</t>
  </si>
  <si>
    <t>Siemens-PG 4121-TAC-Executivo-Elétrico-Setor 69kV--</t>
  </si>
  <si>
    <t>SE TACAIMBO - 69kV - 02T1 - FUNCIONAL</t>
  </si>
  <si>
    <t>SE TACAIMBO - 69kV - 02T5 - FUNCIONAL</t>
  </si>
  <si>
    <t>SE TACAIMBO - 69kV - 02V1 - FUNCIONAL</t>
  </si>
  <si>
    <t>SE TACAIMBO - 69kV - 02V2 - FUNCIONAL</t>
  </si>
  <si>
    <t>Siemens-PG 3881-CMA-Executivo-Elétrico-Setor 230kV--</t>
  </si>
  <si>
    <t>SE COREMAS - 230kV - 04M6 - FUNCIONAL</t>
  </si>
  <si>
    <t>SE RECIFE II - NÍVEL 2 - ARQUITETURA DIGITAL</t>
  </si>
  <si>
    <t>Siemens-PG 2900-PTU-Executivo-Elétrico-Setor 230kV--</t>
  </si>
  <si>
    <t>SE PITUAÇU - 230kV - 04T2 - FUNCIONAL</t>
  </si>
  <si>
    <t>SE PITUAÇU - 230kV - 04L4 - FUNCIONAL</t>
  </si>
  <si>
    <t>SE PITUAÇU - 230kV - 04M8 - FUNCIONAL</t>
  </si>
  <si>
    <t>SE PITUAÇU - 230kV - 04T1 - FUNCIONAL</t>
  </si>
  <si>
    <t>SE RIO LARGO - 230kV - 04D1 - FUNCIONAL</t>
  </si>
  <si>
    <t>SE RIO LARGO - 230kV - 04D1 - FIAÇÃO</t>
  </si>
  <si>
    <t>SE RIO LARGO - 230kV - 04D1 - INTERLIGAÇÃO</t>
  </si>
  <si>
    <t>SE COTEGIPE - 230kV - 04M6 - INTERLIGAÇÃO</t>
  </si>
  <si>
    <t>SE SÃO JOÃO DO PIAUI - 69kV - 02D1 - INTERLIGAÇÃO</t>
  </si>
  <si>
    <t>SE MIRUEIRA - 230kV - 04C5 - FUNCIONAL</t>
  </si>
  <si>
    <t xml:space="preserve">SE MIRUEIRA - 230kV - 04C5 - FIAÇÃO </t>
  </si>
  <si>
    <t>SE MIRUEIRA - 230kV - 04C5 - INTERLIGAÇÃO</t>
  </si>
  <si>
    <t>SE MIRUEIRA - 230kV - 04T4 - FUNCIONAL</t>
  </si>
  <si>
    <t>CHESF-SE Suape II-SE Suape II EL 500 kV-Executivo-Elétrica-Unifilares de Serviços Auxiliares--</t>
  </si>
  <si>
    <t>SE SUAPE II - 500kV - UNIFILAR - SERVIÇO AUXILIAR</t>
  </si>
  <si>
    <t>SE SÃO JOÃO DO PIAUI - 69kV - 02T3 - INTERLIGAÇÃO</t>
  </si>
  <si>
    <t xml:space="preserve">SE MIRUEIRA - 230kV - 04T4 - FIAÇÃO </t>
  </si>
  <si>
    <t>SE MIRUEIRA - 230kV - 04T4 - INTERLIGAÇÃO</t>
  </si>
  <si>
    <t>SE MIRUEIRA - 230kV - UNIDADE DE CONTROLE - FUNCIONAL</t>
  </si>
  <si>
    <t>SE MIRUEIRA - 230kV - UNIDADE DE CONTROLE - FIAÇÃO</t>
  </si>
  <si>
    <t>SE MIRUEIRA - 230kV - UNIDADE DE CONTROLE - INTERLIGAÇÃO</t>
  </si>
  <si>
    <t>SE MIRUEIRA - 230kV - 04C6 - FUNCIONAL</t>
  </si>
  <si>
    <t>Arteche-Chesf-CTG-Executivo-Elétrico-Serv. Auxiliares--</t>
  </si>
  <si>
    <t>SE COTEGIPE - SERVIÇO AUXILIAR CA - INTERLIGAÇÃO</t>
  </si>
  <si>
    <t>GE GRID-CE Serra do Tigre-SE Serra do Tigre Norte-Executivo-Elétrico-Disposição das Aparelhagens--</t>
  </si>
  <si>
    <t>SE SERRA DO TIGRE - DISPOSIÇÃO DE APARELHAGEM</t>
  </si>
  <si>
    <t>SE MIRUEIRA - 230kV - 04C6 - FIAÇÃO</t>
  </si>
  <si>
    <t>SE RECIFE II - SERVIÇO AUXILIAR CC - INTERLIGAÇÃO</t>
  </si>
  <si>
    <t>SE RECIFE II - SERVIÇO AUXILIAR CC - FIAÇÃO</t>
  </si>
  <si>
    <t>SE MIRUEIRA - 230kV - 04C6 - INTERLIGAÇÃO</t>
  </si>
  <si>
    <t>SE MIRUEIRA - 69kV - 02H2 - FIAÇÃO</t>
  </si>
  <si>
    <t>SE MOSSORÓ II - 230kV - 04L1 - FUNCIONAL</t>
  </si>
  <si>
    <t>SE MOSSORÓ II - 230kV - 04L1 - INTERLIGAÇÃO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</si>
</sst>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4">
    <xf numFmtId="0" fontId="0" fillId="0" borderId="0" xfId="0"/>
    <xf numFmtId="164" fontId="5" fillId="3" borderId="10" xfId="1" applyNumberFormat="1" applyFont="1" applyFill="1" applyBorder="1" applyAlignment="1" applyProtection="1">
      <alignment horizontal="center"/>
    </xf>
    <xf numFmtId="164" fontId="5" fillId="2" borderId="12" xfId="1" applyNumberFormat="1" applyFont="1" applyFill="1" applyBorder="1" applyAlignment="1" applyProtection="1">
      <alignment horizontal="center"/>
    </xf>
    <xf numFmtId="164" fontId="5" fillId="2" borderId="14" xfId="1" applyNumberFormat="1" applyFont="1" applyFill="1" applyBorder="1" applyAlignment="1" applyProtection="1">
      <alignment horizontal="center"/>
    </xf>
    <xf numFmtId="0" fontId="2" fillId="4" borderId="18" xfId="1" applyFont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ont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ont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 applyProtection="1">
      <alignment horizontal="center"/>
    </xf>
    <xf numFmtId="164" fontId="2" fillId="4" borderId="18" xfId="1" applyNumberFormat="1" applyFont="1" applyFill="1" applyBorder="1" applyAlignment="1" applyProtection="1">
      <alignment horizontal="center"/>
      <protection locked="0"/>
    </xf>
    <xf numFmtId="0" fontId="2" fillId="4" borderId="21" xfId="1" applyFont="1" applyFill="1" applyBorder="1" applyAlignment="1" applyProtection="1">
      <alignment horizontal="left" vertical="center"/>
      <protection locked="0"/>
    </xf>
    <xf numFmtId="0" fontId="2" fillId="4" borderId="18" xfId="1" applyFont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 applyProtection="1">
      <alignment horizontal="center" vertical="center"/>
    </xf>
    <xf numFmtId="0" fontId="5" fillId="2" borderId="4" xfId="1" applyFont="1" applyFill="1" applyBorder="1" applyAlignment="1" applyProtection="1">
      <alignment horizontal="center" vertical="center"/>
    </xf>
    <xf numFmtId="0" fontId="5" fillId="2" borderId="10" xfId="1" applyFont="1" applyFill="1" applyBorder="1" applyAlignment="1" applyProtection="1">
      <alignment horizontal="center" vertical="center"/>
    </xf>
    <xf numFmtId="0" fontId="0" fillId="0" borderId="0" xfId="0" applyProtection="1"/>
    <xf numFmtId="0" fontId="6" fillId="2" borderId="5" xfId="1" applyFont="1" applyFill="1" applyBorder="1" applyAlignment="1" applyProtection="1">
      <alignment vertical="center"/>
    </xf>
    <xf numFmtId="0" fontId="6" fillId="2" borderId="7" xfId="1" applyFont="1" applyFill="1" applyBorder="1" applyAlignment="1" applyProtection="1">
      <alignment vertical="center"/>
    </xf>
    <xf numFmtId="0" fontId="6" fillId="2" borderId="8" xfId="1" applyFont="1" applyFill="1" applyBorder="1" applyAlignment="1" applyProtection="1">
      <alignment vertical="center"/>
    </xf>
    <xf numFmtId="0" fontId="4" fillId="0" borderId="2" xfId="2" applyFont="1" applyBorder="1" applyAlignment="1" applyProtection="1"/>
    <xf numFmtId="0" fontId="4" fillId="2" borderId="2" xfId="2" applyFont="1" applyFill="1" applyBorder="1" applyAlignment="1" applyProtection="1">
      <alignment horizontal="center"/>
    </xf>
    <xf numFmtId="0" fontId="3" fillId="0" borderId="19" xfId="1" applyFont="1" applyFill="1" applyBorder="1" applyAlignment="1" applyProtection="1">
      <alignment horizontal="center" vertical="center"/>
    </xf>
    <xf numFmtId="0" fontId="3" fillId="0" borderId="20" xfId="1" applyFont="1" applyFill="1" applyBorder="1" applyAlignment="1" applyProtection="1">
      <alignment horizontal="center" vertical="center"/>
    </xf>
    <xf numFmtId="0" fontId="6" fillId="2" borderId="15" xfId="1" applyFont="1" applyFill="1" applyBorder="1" applyAlignment="1" applyProtection="1">
      <alignment vertical="center"/>
    </xf>
    <xf numFmtId="0" fontId="6" fillId="2" borderId="6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16" xfId="1" applyFont="1" applyFill="1" applyBorder="1" applyAlignment="1" applyProtection="1">
      <alignment vertical="center"/>
    </xf>
    <xf numFmtId="0" fontId="6" fillId="2" borderId="11" xfId="1" applyFont="1" applyFill="1" applyBorder="1" applyAlignment="1" applyProtection="1">
      <alignment vertical="center"/>
    </xf>
    <xf numFmtId="0" fontId="6" fillId="2" borderId="9" xfId="1" applyFont="1" applyFill="1" applyBorder="1" applyAlignment="1" applyProtection="1">
      <alignment vertical="center"/>
    </xf>
    <xf numFmtId="0" fontId="4" fillId="0" borderId="3" xfId="2" applyFont="1" applyBorder="1" applyAlignment="1" applyProtection="1"/>
    <xf numFmtId="0" fontId="4" fillId="0" borderId="4" xfId="2" applyFont="1" applyBorder="1" applyAlignment="1" applyProtection="1"/>
    <xf numFmtId="0" fontId="5" fillId="0" borderId="2" xfId="1" applyFont="1" applyBorder="1" applyAlignment="1" applyProtection="1"/>
    <xf numFmtId="0" fontId="5" fillId="0" borderId="3" xfId="1" applyFont="1" applyBorder="1" applyAlignment="1" applyProtection="1"/>
    <xf numFmtId="0" fontId="5" fillId="0" borderId="4" xfId="1" applyFont="1" applyBorder="1" applyAlignment="1" applyProtection="1"/>
    <xf numFmtId="0" fontId="4" fillId="2" borderId="10" xfId="2" applyFont="1" applyFill="1" applyBorder="1" applyAlignment="1" applyProtection="1">
      <alignment horizontal="center"/>
    </xf>
    <xf numFmtId="0" fontId="4" fillId="2" borderId="17" xfId="2" applyFont="1" applyFill="1" applyBorder="1" applyAlignment="1" applyProtection="1">
      <alignment horizontal="center"/>
    </xf>
    <xf numFmtId="0" fontId="4" fillId="2" borderId="13" xfId="2" applyFont="1" applyFill="1" applyBorder="1" applyAlignment="1" applyProtection="1">
      <alignment horizontal="center"/>
    </xf>
    <xf numFmtId="0" fontId="4" fillId="2" borderId="10" xfId="2" applyFont="1" applyFill="1" applyBorder="1" applyAlignment="1" applyProtection="1">
      <alignment horizontal="center" vertical="center"/>
    </xf>
    <xf numFmtId="164" fontId="2" fillId="4" borderId="1" xfId="1" applyNumberFormat="1" applyFont="1" applyFill="1" applyBorder="1" applyAlignment="1" applyProtection="1">
      <alignment horizontal="center"/>
      <protection locked="0"/>
    </xf>
    <xf numFmtId="0" fontId="2" fillId="4" borderId="22" xfId="1" applyFont="1" applyFill="1" applyBorder="1" applyAlignment="1" applyProtection="1">
      <alignment horizontal="left" vertical="center"/>
      <protection locked="0"/>
    </xf>
    <xf numFmtId="164" fontId="3" fillId="4" borderId="23" xfId="1" applyNumberFormat="1" applyFont="1" applyFill="1" applyBorder="1" applyAlignment="1" applyProtection="1">
      <alignment horizontal="center"/>
      <protection locked="0"/>
    </xf>
    <xf numFmtId="0" fontId="0" fillId="0" borderId="23" xfId="0" applyBorder="1" applyProtection="1">
      <protection locked="0"/>
    </xf>
    <xf numFmtId="0" fontId="3" fillId="0" borderId="24" xfId="1" applyFont="1" applyFill="1" applyBorder="1" applyAlignment="1" applyProtection="1">
      <alignment horizontal="center" vertical="center"/>
    </xf>
    <xf numFmtId="0" fontId="2" fillId="4" borderId="25" xfId="1" applyFont="1" applyFill="1" applyBorder="1" applyAlignment="1" applyProtection="1">
      <alignment horizontal="left" vertical="center"/>
      <protection locked="0"/>
    </xf>
    <xf numFmtId="164" fontId="3" fillId="4" borderId="25" xfId="1" applyNumberFormat="1" applyFont="1" applyFill="1" applyBorder="1" applyAlignment="1" applyProtection="1">
      <alignment horizontal="center"/>
      <protection locked="0"/>
    </xf>
    <xf numFmtId="164" fontId="7" fillId="4" borderId="21" xfId="1" applyNumberFormat="1" applyFon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164" fontId="2" fillId="4" borderId="21" xfId="1" applyNumberFormat="1" applyFont="1" applyFill="1" applyBorder="1" applyAlignment="1" applyProtection="1">
      <alignment horizontal="center"/>
      <protection locked="0"/>
    </xf>
    <xf numFmtId="0" fontId="3" fillId="4" borderId="25" xfId="1" applyFont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/>
    <cellStyle name="Normal 2 4" xfId="6"/>
    <cellStyle name="Normal 3" xfId="3"/>
    <cellStyle name="Normal 4" xfId="4"/>
    <cellStyle name="Normal 5" xfId="5"/>
    <cellStyle name="Normal 6" xfId="7"/>
    <cellStyle name="Normal 7" xfId="8"/>
    <cellStyle name="Normal 8" xfId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AI107"/>
  <sheetViews>
    <sheetView zoomScale="85" zoomScaleNormal="85" workbookViewId="0">
      <pane xSplit="3" topLeftCell="D1" activePane="topRight" state="frozen"/>
      <selection pane="topRight" activeCell="B27" sqref="B27:C27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 t="s">
        <v>5</v>
      </c>
      <c r="C7" s="15" t="s">
        <v>10</v>
      </c>
      <c r="D7" s="13"/>
      <c r="E7" s="5"/>
      <c r="F7" s="5"/>
      <c r="G7" s="5"/>
      <c r="H7" s="5"/>
      <c r="I7" s="5"/>
      <c r="J7" s="5"/>
      <c r="K7" s="5"/>
      <c r="L7" s="5"/>
      <c r="M7" s="5"/>
      <c r="N7" s="13">
        <v>4</v>
      </c>
      <c r="O7" s="13"/>
      <c r="P7" s="13"/>
      <c r="Q7" s="13"/>
      <c r="R7" s="13"/>
      <c r="S7" s="13"/>
      <c r="T7" s="13"/>
      <c r="U7" s="13"/>
      <c r="V7" s="13"/>
      <c r="W7" s="13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7">
        <v>2</v>
      </c>
      <c r="B8" s="9" t="s">
        <v>6</v>
      </c>
      <c r="C8" s="9" t="s">
        <v>11</v>
      </c>
      <c r="D8" s="7"/>
      <c r="E8" s="7"/>
      <c r="F8" s="7"/>
      <c r="G8" s="7"/>
      <c r="H8" s="7"/>
      <c r="I8" s="7"/>
      <c r="J8" s="7"/>
      <c r="K8" s="7"/>
      <c r="L8" s="7"/>
      <c r="M8" s="7"/>
      <c r="N8" s="43">
        <v>5</v>
      </c>
      <c r="O8" s="43">
        <v>5</v>
      </c>
      <c r="P8" s="43">
        <v>6</v>
      </c>
      <c r="Q8" s="43"/>
      <c r="R8" s="43"/>
      <c r="S8" s="43"/>
      <c r="T8" s="43"/>
      <c r="U8" s="43">
        <v>3.5</v>
      </c>
      <c r="V8" s="43"/>
      <c r="W8" s="43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19.5</v>
      </c>
    </row>
    <row r="9" spans="1:35" x14ac:dyDescent="0.25">
      <c r="A9" s="27">
        <v>3</v>
      </c>
      <c r="B9" s="9" t="s">
        <v>7</v>
      </c>
      <c r="C9" s="9" t="s">
        <v>12</v>
      </c>
      <c r="D9" s="7"/>
      <c r="E9" s="7"/>
      <c r="F9" s="7"/>
      <c r="G9" s="7"/>
      <c r="H9" s="7"/>
      <c r="I9" s="7"/>
      <c r="J9" s="7"/>
      <c r="K9" s="7"/>
      <c r="L9" s="7"/>
      <c r="M9" s="7"/>
      <c r="N9" s="43"/>
      <c r="O9" s="43">
        <v>4</v>
      </c>
      <c r="P9" s="43"/>
      <c r="Q9" s="43"/>
      <c r="R9" s="43"/>
      <c r="S9" s="43"/>
      <c r="T9" s="43"/>
      <c r="U9" s="43"/>
      <c r="V9" s="43"/>
      <c r="W9" s="43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</v>
      </c>
    </row>
    <row r="10" spans="1:35" x14ac:dyDescent="0.25">
      <c r="A10" s="27">
        <v>4</v>
      </c>
      <c r="B10" s="9" t="s">
        <v>6</v>
      </c>
      <c r="C10" s="9" t="s">
        <v>13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43"/>
      <c r="O10" s="43"/>
      <c r="P10" s="43">
        <v>3</v>
      </c>
      <c r="Q10" s="43"/>
      <c r="R10" s="43"/>
      <c r="S10" s="43"/>
      <c r="T10" s="43"/>
      <c r="U10" s="43"/>
      <c r="V10" s="43"/>
      <c r="W10" s="43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7">
        <v>5</v>
      </c>
      <c r="B11" s="9" t="s">
        <v>6</v>
      </c>
      <c r="C11" s="9" t="s">
        <v>14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43"/>
      <c r="O11" s="43"/>
      <c r="P11" s="43"/>
      <c r="Q11" s="43">
        <v>9</v>
      </c>
      <c r="R11" s="43"/>
      <c r="S11" s="43"/>
      <c r="T11" s="43"/>
      <c r="U11" s="43"/>
      <c r="V11" s="43"/>
      <c r="W11" s="43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9</v>
      </c>
    </row>
    <row r="12" spans="1:35" x14ac:dyDescent="0.25">
      <c r="A12" s="27">
        <v>6</v>
      </c>
      <c r="B12" s="9" t="s">
        <v>7</v>
      </c>
      <c r="C12" s="9" t="s">
        <v>15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43"/>
      <c r="O12" s="43"/>
      <c r="P12" s="43"/>
      <c r="Q12" s="43"/>
      <c r="R12" s="43"/>
      <c r="S12" s="43">
        <v>4</v>
      </c>
      <c r="T12" s="43"/>
      <c r="U12" s="43"/>
      <c r="V12" s="43"/>
      <c r="W12" s="43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4</v>
      </c>
    </row>
    <row r="13" spans="1:35" x14ac:dyDescent="0.25">
      <c r="A13" s="27">
        <v>7</v>
      </c>
      <c r="B13" s="9" t="s">
        <v>7</v>
      </c>
      <c r="C13" s="9" t="s">
        <v>16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43"/>
      <c r="O13" s="43"/>
      <c r="P13" s="43"/>
      <c r="Q13" s="43"/>
      <c r="R13" s="43"/>
      <c r="S13" s="43">
        <v>5</v>
      </c>
      <c r="T13" s="43"/>
      <c r="U13" s="43"/>
      <c r="V13" s="43"/>
      <c r="W13" s="43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25">
      <c r="A14" s="27">
        <v>8</v>
      </c>
      <c r="B14" s="9" t="s">
        <v>6</v>
      </c>
      <c r="C14" s="9" t="s">
        <v>17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43"/>
      <c r="O14" s="43"/>
      <c r="P14" s="43"/>
      <c r="Q14" s="43"/>
      <c r="R14" s="43"/>
      <c r="S14" s="43"/>
      <c r="T14" s="43">
        <v>9</v>
      </c>
      <c r="U14" s="43"/>
      <c r="V14" s="43"/>
      <c r="W14" s="43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9</v>
      </c>
    </row>
    <row r="15" spans="1:35" x14ac:dyDescent="0.25">
      <c r="A15" s="27">
        <v>9</v>
      </c>
      <c r="B15" s="9" t="s">
        <v>6</v>
      </c>
      <c r="C15" s="9" t="s">
        <v>18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43"/>
      <c r="O15" s="43"/>
      <c r="P15" s="43"/>
      <c r="Q15" s="43"/>
      <c r="R15" s="43"/>
      <c r="S15" s="43"/>
      <c r="T15" s="43"/>
      <c r="U15" s="43">
        <v>1.5</v>
      </c>
      <c r="V15" s="43"/>
      <c r="W15" s="43"/>
      <c r="X15" s="7"/>
      <c r="Y15" s="7"/>
      <c r="Z15" s="7"/>
      <c r="AA15" s="7">
        <v>2</v>
      </c>
      <c r="AB15" s="7"/>
      <c r="AC15" s="7"/>
      <c r="AD15" s="7"/>
      <c r="AE15" s="7"/>
      <c r="AF15" s="7"/>
      <c r="AG15" s="7"/>
      <c r="AH15" s="7">
        <v>3</v>
      </c>
      <c r="AI15" s="2">
        <f t="shared" si="0"/>
        <v>6.5</v>
      </c>
    </row>
    <row r="16" spans="1:35" x14ac:dyDescent="0.25">
      <c r="A16" s="27">
        <v>10</v>
      </c>
      <c r="B16" s="9" t="s">
        <v>8</v>
      </c>
      <c r="C16" s="9" t="s">
        <v>19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43"/>
      <c r="O16" s="43"/>
      <c r="P16" s="43"/>
      <c r="Q16" s="43"/>
      <c r="R16" s="43"/>
      <c r="S16" s="43"/>
      <c r="T16" s="43"/>
      <c r="U16" s="43">
        <v>4</v>
      </c>
      <c r="V16" s="43">
        <v>4</v>
      </c>
      <c r="W16" s="43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8</v>
      </c>
    </row>
    <row r="17" spans="1:35" x14ac:dyDescent="0.25">
      <c r="A17" s="27">
        <v>11</v>
      </c>
      <c r="B17" s="9" t="s">
        <v>6</v>
      </c>
      <c r="C17" s="9" t="s">
        <v>20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43"/>
      <c r="O17" s="43"/>
      <c r="P17" s="43"/>
      <c r="Q17" s="43"/>
      <c r="R17" s="43"/>
      <c r="S17" s="43"/>
      <c r="T17" s="43"/>
      <c r="U17" s="43"/>
      <c r="V17" s="43">
        <v>2</v>
      </c>
      <c r="W17" s="43">
        <v>9</v>
      </c>
      <c r="X17" s="7"/>
      <c r="Y17" s="7"/>
      <c r="Z17" s="7"/>
      <c r="AA17" s="7"/>
      <c r="AB17" s="7"/>
      <c r="AC17" s="7"/>
      <c r="AD17" s="7"/>
      <c r="AE17" s="7"/>
      <c r="AF17" s="7"/>
      <c r="AG17" s="7">
        <v>3</v>
      </c>
      <c r="AH17" s="7"/>
      <c r="AI17" s="2">
        <f t="shared" si="0"/>
        <v>14</v>
      </c>
    </row>
    <row r="18" spans="1:35" x14ac:dyDescent="0.25">
      <c r="A18" s="27">
        <v>12</v>
      </c>
      <c r="B18" s="9" t="s">
        <v>9</v>
      </c>
      <c r="C18" s="9" t="s">
        <v>21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43"/>
      <c r="O18" s="43"/>
      <c r="P18" s="43"/>
      <c r="Q18" s="43"/>
      <c r="R18" s="43"/>
      <c r="S18" s="43"/>
      <c r="T18" s="43"/>
      <c r="U18" s="43"/>
      <c r="V18" s="43">
        <v>1</v>
      </c>
      <c r="W18" s="43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7">
        <v>13</v>
      </c>
      <c r="B19" s="9" t="s">
        <v>9</v>
      </c>
      <c r="C19" s="9" t="s">
        <v>22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43"/>
      <c r="O19" s="43"/>
      <c r="P19" s="43"/>
      <c r="Q19" s="43"/>
      <c r="R19" s="43"/>
      <c r="S19" s="43"/>
      <c r="T19" s="43"/>
      <c r="U19" s="43"/>
      <c r="V19" s="43">
        <v>1</v>
      </c>
      <c r="W19" s="43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7">
        <v>14</v>
      </c>
      <c r="B20" s="9" t="s">
        <v>9</v>
      </c>
      <c r="C20" s="9" t="s">
        <v>23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43"/>
      <c r="O20" s="43"/>
      <c r="P20" s="43"/>
      <c r="Q20" s="43"/>
      <c r="R20" s="43"/>
      <c r="S20" s="43"/>
      <c r="T20" s="43"/>
      <c r="U20" s="43"/>
      <c r="V20" s="43">
        <v>1</v>
      </c>
      <c r="W20" s="43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7">
        <v>15</v>
      </c>
      <c r="B21" s="8" t="s">
        <v>24</v>
      </c>
      <c r="C21" s="9" t="s">
        <v>25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>
        <v>9</v>
      </c>
      <c r="AA21" s="7">
        <v>2</v>
      </c>
      <c r="AB21" s="7"/>
      <c r="AC21" s="7"/>
      <c r="AD21" s="7"/>
      <c r="AE21" s="7"/>
      <c r="AF21" s="7"/>
      <c r="AG21" s="7"/>
      <c r="AH21" s="7"/>
      <c r="AI21" s="2">
        <f t="shared" si="0"/>
        <v>11</v>
      </c>
    </row>
    <row r="22" spans="1:35" x14ac:dyDescent="0.25">
      <c r="A22" s="27">
        <v>16</v>
      </c>
      <c r="B22" s="8" t="s">
        <v>7</v>
      </c>
      <c r="C22" s="9" t="s">
        <v>26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>
        <v>3</v>
      </c>
      <c r="AB22" s="7"/>
      <c r="AC22" s="7"/>
      <c r="AD22" s="7"/>
      <c r="AE22" s="7"/>
      <c r="AF22" s="7"/>
      <c r="AG22" s="7"/>
      <c r="AH22" s="7"/>
      <c r="AI22" s="2">
        <f t="shared" si="0"/>
        <v>3</v>
      </c>
    </row>
    <row r="23" spans="1:35" x14ac:dyDescent="0.25">
      <c r="A23" s="27">
        <v>17</v>
      </c>
      <c r="B23" s="8" t="s">
        <v>27</v>
      </c>
      <c r="C23" s="9" t="s">
        <v>28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>
        <v>2</v>
      </c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7">
        <v>18</v>
      </c>
      <c r="B24" s="8" t="s">
        <v>27</v>
      </c>
      <c r="C24" s="9" t="s">
        <v>29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>
        <v>3</v>
      </c>
      <c r="AC24" s="7"/>
      <c r="AD24" s="7"/>
      <c r="AE24" s="7"/>
      <c r="AF24" s="7"/>
      <c r="AG24" s="7"/>
      <c r="AH24" s="7"/>
      <c r="AI24" s="2">
        <f t="shared" si="0"/>
        <v>3</v>
      </c>
    </row>
    <row r="25" spans="1:35" x14ac:dyDescent="0.25">
      <c r="A25" s="27">
        <v>19</v>
      </c>
      <c r="B25" s="8" t="s">
        <v>7</v>
      </c>
      <c r="C25" s="9" t="s">
        <v>30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>
        <v>4</v>
      </c>
      <c r="AC25" s="7"/>
      <c r="AD25" s="7"/>
      <c r="AE25" s="7"/>
      <c r="AF25" s="7"/>
      <c r="AG25" s="7"/>
      <c r="AH25" s="7"/>
      <c r="AI25" s="2">
        <f t="shared" si="0"/>
        <v>4</v>
      </c>
    </row>
    <row r="26" spans="1:35" x14ac:dyDescent="0.25">
      <c r="A26" s="27">
        <v>20</v>
      </c>
      <c r="B26" s="8" t="s">
        <v>31</v>
      </c>
      <c r="C26" s="9" t="s">
        <v>32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4</v>
      </c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7">
        <v>21</v>
      </c>
      <c r="B27" s="8" t="s">
        <v>31</v>
      </c>
      <c r="C27" s="9" t="s">
        <v>32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>
        <v>4</v>
      </c>
      <c r="AD27" s="7"/>
      <c r="AE27" s="7"/>
      <c r="AF27" s="7"/>
      <c r="AG27" s="7"/>
      <c r="AH27" s="7"/>
      <c r="AI27" s="2">
        <f t="shared" si="0"/>
        <v>4</v>
      </c>
    </row>
    <row r="28" spans="1:35" x14ac:dyDescent="0.25">
      <c r="A28" s="27">
        <v>22</v>
      </c>
      <c r="B28" s="8" t="s">
        <v>24</v>
      </c>
      <c r="C28" s="9" t="s">
        <v>25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v>3</v>
      </c>
      <c r="AD28" s="7"/>
      <c r="AE28" s="7"/>
      <c r="AF28" s="7"/>
      <c r="AG28" s="7"/>
      <c r="AH28" s="7"/>
      <c r="AI28" s="2">
        <f t="shared" si="0"/>
        <v>3</v>
      </c>
    </row>
    <row r="29" spans="1:35" x14ac:dyDescent="0.25">
      <c r="A29" s="27">
        <v>23</v>
      </c>
      <c r="B29" s="8" t="s">
        <v>33</v>
      </c>
      <c r="C29" s="9" t="s">
        <v>34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>
        <v>4</v>
      </c>
      <c r="AD29" s="7"/>
      <c r="AE29" s="7"/>
      <c r="AF29" s="7"/>
      <c r="AG29" s="7"/>
      <c r="AH29" s="7"/>
      <c r="AI29" s="2">
        <f t="shared" si="0"/>
        <v>4</v>
      </c>
    </row>
    <row r="30" spans="1:35" x14ac:dyDescent="0.25">
      <c r="A30" s="27">
        <v>24</v>
      </c>
      <c r="B30" s="8" t="s">
        <v>31</v>
      </c>
      <c r="C30" s="9" t="s">
        <v>35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>
        <v>3</v>
      </c>
      <c r="AE30" s="7"/>
      <c r="AF30" s="7"/>
      <c r="AG30" s="7">
        <v>2</v>
      </c>
      <c r="AH30" s="7"/>
      <c r="AI30" s="2">
        <f t="shared" si="0"/>
        <v>5</v>
      </c>
    </row>
    <row r="31" spans="1:35" x14ac:dyDescent="0.25">
      <c r="A31" s="27">
        <v>25</v>
      </c>
      <c r="B31" s="8" t="s">
        <v>33</v>
      </c>
      <c r="C31" s="14" t="s">
        <v>36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>
        <v>2</v>
      </c>
      <c r="AE31" s="7"/>
      <c r="AF31" s="7"/>
      <c r="AG31" s="7"/>
      <c r="AH31" s="7"/>
      <c r="AI31" s="2">
        <f t="shared" si="0"/>
        <v>2</v>
      </c>
    </row>
    <row r="32" spans="1:35" x14ac:dyDescent="0.25">
      <c r="A32" s="27">
        <v>26</v>
      </c>
      <c r="B32" s="44" t="s">
        <v>5</v>
      </c>
      <c r="C32" s="9" t="s">
        <v>37</v>
      </c>
      <c r="D32" s="4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>
        <v>4</v>
      </c>
      <c r="AE32" s="7"/>
      <c r="AF32" s="7"/>
      <c r="AG32" s="7"/>
      <c r="AH32" s="7"/>
      <c r="AI32" s="2">
        <f t="shared" si="0"/>
        <v>4</v>
      </c>
    </row>
    <row r="33" spans="1:35" x14ac:dyDescent="0.25">
      <c r="A33" s="27">
        <v>27</v>
      </c>
      <c r="B33" s="9" t="s">
        <v>6</v>
      </c>
      <c r="C33" s="9" t="s">
        <v>38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>
        <v>6</v>
      </c>
      <c r="AH33" s="7"/>
      <c r="AI33" s="2">
        <f t="shared" si="0"/>
        <v>6</v>
      </c>
    </row>
    <row r="34" spans="1:35" x14ac:dyDescent="0.25">
      <c r="A34" s="27">
        <v>28</v>
      </c>
      <c r="B34" s="8" t="s">
        <v>39</v>
      </c>
      <c r="C34" s="9" t="s">
        <v>40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>
        <v>8</v>
      </c>
      <c r="AI34" s="2">
        <f t="shared" si="0"/>
        <v>8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0</v>
      </c>
      <c r="Y107" s="3">
        <f t="shared" si="1"/>
        <v>0</v>
      </c>
      <c r="Z107" s="3">
        <f t="shared" si="1"/>
        <v>9</v>
      </c>
      <c r="AA107" s="3">
        <f t="shared" si="1"/>
        <v>9</v>
      </c>
      <c r="AB107" s="3">
        <f t="shared" si="1"/>
        <v>11</v>
      </c>
      <c r="AC107" s="3">
        <f t="shared" si="1"/>
        <v>11</v>
      </c>
      <c r="AD107" s="3">
        <f t="shared" si="1"/>
        <v>9</v>
      </c>
      <c r="AE107" s="3">
        <f t="shared" si="1"/>
        <v>0</v>
      </c>
      <c r="AF107" s="3">
        <f t="shared" si="1"/>
        <v>0</v>
      </c>
      <c r="AG107" s="3">
        <f t="shared" si="1"/>
        <v>11</v>
      </c>
      <c r="AH107" s="3">
        <f t="shared" si="1"/>
        <v>11</v>
      </c>
      <c r="AI107" s="1">
        <f>SUM(D107:AH107)</f>
        <v>152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362204722" right="0.11811023622047245" top="0.59055118110236227" bottom="0.39370078740157483" header="0.31496062992125984" footer="0.31496062992125984"/>
  <pageSetup paperSize="9" scale="85" orientation="landscape" r:id="rId1"/>
  <colBreaks count="1" manualBreakCount="1">
    <brk id="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AI107"/>
  <sheetViews>
    <sheetView zoomScale="85" zoomScaleNormal="85" workbookViewId="0">
      <pane xSplit="3" topLeftCell="AB1" activePane="topRight" state="frozen"/>
      <selection pane="topRight" activeCell="B14" sqref="B14:C14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39</v>
      </c>
      <c r="C7" s="9" t="s">
        <v>43</v>
      </c>
      <c r="D7" s="13">
        <v>1.5</v>
      </c>
      <c r="E7" s="5">
        <v>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0.5</v>
      </c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7">
        <v>2</v>
      </c>
      <c r="B8" s="10" t="s">
        <v>39</v>
      </c>
      <c r="C8" s="14" t="s">
        <v>44</v>
      </c>
      <c r="D8" s="11">
        <v>5.5</v>
      </c>
      <c r="E8" s="11">
        <v>3</v>
      </c>
      <c r="F8" s="11"/>
      <c r="G8" s="11"/>
      <c r="H8" s="11"/>
      <c r="I8" s="7">
        <v>2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>
        <v>0.5</v>
      </c>
      <c r="AE8" s="7"/>
      <c r="AF8" s="7"/>
      <c r="AG8" s="7"/>
      <c r="AH8" s="7"/>
      <c r="AI8" s="2">
        <f t="shared" si="0"/>
        <v>11</v>
      </c>
    </row>
    <row r="9" spans="1:35" x14ac:dyDescent="0.25">
      <c r="A9" s="47">
        <v>3</v>
      </c>
      <c r="B9" s="8" t="s">
        <v>39</v>
      </c>
      <c r="C9" s="9" t="s">
        <v>45</v>
      </c>
      <c r="D9" s="7"/>
      <c r="E9" s="7"/>
      <c r="F9" s="7"/>
      <c r="G9" s="7"/>
      <c r="H9" s="7"/>
      <c r="I9" s="46"/>
      <c r="J9" s="7">
        <v>2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>
        <v>0.5</v>
      </c>
      <c r="AE9" s="7"/>
      <c r="AF9" s="7"/>
      <c r="AG9" s="7"/>
      <c r="AH9" s="7"/>
      <c r="AI9" s="2">
        <f t="shared" si="0"/>
        <v>2.5</v>
      </c>
    </row>
    <row r="10" spans="1:35" x14ac:dyDescent="0.25">
      <c r="A10" s="27">
        <v>4</v>
      </c>
      <c r="B10" s="48" t="s">
        <v>6</v>
      </c>
      <c r="C10" s="48" t="s">
        <v>41</v>
      </c>
      <c r="D10" s="49">
        <v>2.5</v>
      </c>
      <c r="E10" s="49"/>
      <c r="F10" s="49"/>
      <c r="G10" s="49"/>
      <c r="H10" s="49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>
        <v>0.5</v>
      </c>
      <c r="AF10" s="7"/>
      <c r="AG10" s="7"/>
      <c r="AH10" s="7"/>
      <c r="AI10" s="2">
        <f t="shared" si="0"/>
        <v>3</v>
      </c>
    </row>
    <row r="11" spans="1:35" x14ac:dyDescent="0.25">
      <c r="A11" s="27">
        <v>5</v>
      </c>
      <c r="B11" s="9" t="s">
        <v>6</v>
      </c>
      <c r="C11" s="9" t="s">
        <v>42</v>
      </c>
      <c r="D11" s="7">
        <v>1.5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>
        <v>0.5</v>
      </c>
      <c r="AF11" s="7"/>
      <c r="AG11" s="7"/>
      <c r="AH11" s="7"/>
      <c r="AI11" s="2">
        <f t="shared" si="0"/>
        <v>2</v>
      </c>
    </row>
    <row r="12" spans="1:35" x14ac:dyDescent="0.25">
      <c r="A12" s="27">
        <v>6</v>
      </c>
      <c r="B12" s="8" t="s">
        <v>31</v>
      </c>
      <c r="C12" s="9" t="s">
        <v>46</v>
      </c>
      <c r="D12" s="7"/>
      <c r="E12" s="7">
        <v>6</v>
      </c>
      <c r="F12" s="7">
        <v>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>
        <v>2.5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14.5</v>
      </c>
    </row>
    <row r="13" spans="1:35" x14ac:dyDescent="0.25">
      <c r="A13" s="27">
        <v>7</v>
      </c>
      <c r="B13" s="8" t="s">
        <v>31</v>
      </c>
      <c r="C13" s="9" t="s">
        <v>47</v>
      </c>
      <c r="D13" s="7"/>
      <c r="E13" s="7"/>
      <c r="F13" s="7">
        <v>5</v>
      </c>
      <c r="G13" s="7">
        <v>3</v>
      </c>
      <c r="H13" s="7"/>
      <c r="I13" s="7"/>
      <c r="J13" s="7"/>
      <c r="K13" s="7"/>
      <c r="L13" s="7"/>
      <c r="M13" s="7"/>
      <c r="N13" s="7"/>
      <c r="O13" s="7"/>
      <c r="P13" s="7"/>
      <c r="Q13" s="7">
        <v>0.5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8.5</v>
      </c>
    </row>
    <row r="14" spans="1:35" x14ac:dyDescent="0.25">
      <c r="A14" s="27">
        <v>8</v>
      </c>
      <c r="B14" s="8" t="s">
        <v>31</v>
      </c>
      <c r="C14" s="9" t="s">
        <v>48</v>
      </c>
      <c r="D14" s="7"/>
      <c r="E14" s="7"/>
      <c r="F14" s="7"/>
      <c r="G14" s="7">
        <v>6</v>
      </c>
      <c r="H14" s="7"/>
      <c r="I14" s="7">
        <v>7</v>
      </c>
      <c r="J14" s="7">
        <v>4</v>
      </c>
      <c r="K14" s="7"/>
      <c r="L14" s="7"/>
      <c r="M14" s="7"/>
      <c r="N14" s="7"/>
      <c r="O14" s="7"/>
      <c r="P14" s="7">
        <v>1</v>
      </c>
      <c r="Q14" s="7">
        <v>1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19</v>
      </c>
    </row>
    <row r="15" spans="1:35" x14ac:dyDescent="0.25">
      <c r="A15" s="27">
        <v>9</v>
      </c>
      <c r="B15" s="8" t="s">
        <v>31</v>
      </c>
      <c r="C15" s="9" t="s">
        <v>49</v>
      </c>
      <c r="D15" s="7"/>
      <c r="E15" s="7"/>
      <c r="F15" s="7"/>
      <c r="G15" s="7"/>
      <c r="H15" s="7"/>
      <c r="I15" s="7"/>
      <c r="J15" s="7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>SUM(K15:AH15)</f>
        <v>0</v>
      </c>
    </row>
    <row r="16" spans="1:35" x14ac:dyDescent="0.25">
      <c r="A16" s="27">
        <v>10</v>
      </c>
      <c r="B16" s="8" t="s">
        <v>50</v>
      </c>
      <c r="C16" s="9" t="s">
        <v>51</v>
      </c>
      <c r="D16" s="7"/>
      <c r="E16" s="7"/>
      <c r="F16" s="7"/>
      <c r="G16" s="7"/>
      <c r="H16" s="7"/>
      <c r="I16" s="7"/>
      <c r="J16" s="7"/>
      <c r="K16" s="7">
        <v>4</v>
      </c>
      <c r="L16" s="7">
        <v>3</v>
      </c>
      <c r="M16" s="7"/>
      <c r="N16" s="7"/>
      <c r="O16" s="7"/>
      <c r="P16" s="7">
        <v>2</v>
      </c>
      <c r="Q16" s="7">
        <v>1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10</v>
      </c>
    </row>
    <row r="17" spans="1:35" x14ac:dyDescent="0.25">
      <c r="A17" s="27">
        <v>11</v>
      </c>
      <c r="B17" s="8" t="s">
        <v>50</v>
      </c>
      <c r="C17" s="9" t="s">
        <v>53</v>
      </c>
      <c r="D17" s="7"/>
      <c r="E17" s="7"/>
      <c r="F17" s="7"/>
      <c r="G17" s="7"/>
      <c r="H17" s="7"/>
      <c r="I17" s="7"/>
      <c r="J17" s="7"/>
      <c r="K17" s="7">
        <v>1</v>
      </c>
      <c r="L17" s="7">
        <v>1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7">
        <v>12</v>
      </c>
      <c r="B18" s="8" t="s">
        <v>7</v>
      </c>
      <c r="C18" s="9" t="s">
        <v>52</v>
      </c>
      <c r="D18" s="7"/>
      <c r="E18" s="7"/>
      <c r="F18" s="7"/>
      <c r="G18" s="7"/>
      <c r="H18" s="7"/>
      <c r="I18" s="7"/>
      <c r="J18" s="7"/>
      <c r="K18" s="7">
        <v>4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4</v>
      </c>
    </row>
    <row r="19" spans="1:35" x14ac:dyDescent="0.25">
      <c r="A19" s="27">
        <v>13</v>
      </c>
      <c r="B19" s="8" t="s">
        <v>31</v>
      </c>
      <c r="C19" s="9" t="s">
        <v>54</v>
      </c>
      <c r="D19" s="7"/>
      <c r="E19" s="7"/>
      <c r="F19" s="7"/>
      <c r="G19" s="7"/>
      <c r="H19" s="7"/>
      <c r="I19" s="7"/>
      <c r="J19" s="7"/>
      <c r="K19" s="7"/>
      <c r="L19" s="7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7">
        <v>14</v>
      </c>
      <c r="B20" s="8" t="s">
        <v>50</v>
      </c>
      <c r="C20" s="9" t="s">
        <v>55</v>
      </c>
      <c r="D20" s="7"/>
      <c r="E20" s="7"/>
      <c r="F20" s="7"/>
      <c r="G20" s="7"/>
      <c r="H20" s="7"/>
      <c r="I20" s="7"/>
      <c r="J20" s="7"/>
      <c r="K20" s="7"/>
      <c r="L20" s="7">
        <v>3</v>
      </c>
      <c r="M20" s="7"/>
      <c r="N20" s="7"/>
      <c r="O20" s="7"/>
      <c r="P20" s="7"/>
      <c r="Q20" s="7">
        <v>1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4</v>
      </c>
    </row>
    <row r="21" spans="1:35" x14ac:dyDescent="0.25">
      <c r="A21" s="27">
        <v>15</v>
      </c>
      <c r="B21" s="8" t="s">
        <v>31</v>
      </c>
      <c r="C21" s="9" t="s">
        <v>49</v>
      </c>
      <c r="D21" s="7"/>
      <c r="E21" s="7"/>
      <c r="F21" s="7"/>
      <c r="G21" s="7"/>
      <c r="H21" s="7"/>
      <c r="I21" s="7"/>
      <c r="J21" s="7"/>
      <c r="K21" s="7"/>
      <c r="L21" s="7">
        <v>1</v>
      </c>
      <c r="M21" s="7">
        <v>0.5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1.5</v>
      </c>
    </row>
    <row r="22" spans="1:35" x14ac:dyDescent="0.25">
      <c r="A22" s="27">
        <v>16</v>
      </c>
      <c r="B22" s="8" t="s">
        <v>50</v>
      </c>
      <c r="C22" s="9" t="s">
        <v>56</v>
      </c>
      <c r="D22" s="7"/>
      <c r="E22" s="7"/>
      <c r="F22" s="7"/>
      <c r="G22" s="7"/>
      <c r="H22" s="7"/>
      <c r="I22" s="7"/>
      <c r="J22" s="7"/>
      <c r="K22" s="7"/>
      <c r="L22" s="7"/>
      <c r="M22" s="7">
        <v>4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4</v>
      </c>
    </row>
    <row r="23" spans="1:35" x14ac:dyDescent="0.25">
      <c r="A23" s="27">
        <v>17</v>
      </c>
      <c r="B23" s="8" t="s">
        <v>57</v>
      </c>
      <c r="C23" s="9" t="s">
        <v>58</v>
      </c>
      <c r="D23" s="7"/>
      <c r="E23" s="7"/>
      <c r="F23" s="7"/>
      <c r="G23" s="7"/>
      <c r="H23" s="7"/>
      <c r="I23" s="7"/>
      <c r="J23" s="7"/>
      <c r="K23" s="7"/>
      <c r="L23" s="7"/>
      <c r="M23" s="7">
        <v>0.5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0.5</v>
      </c>
    </row>
    <row r="24" spans="1:35" x14ac:dyDescent="0.25">
      <c r="A24" s="27">
        <v>18</v>
      </c>
      <c r="B24" s="8" t="s">
        <v>50</v>
      </c>
      <c r="C24" s="9" t="s">
        <v>59</v>
      </c>
      <c r="D24" s="7"/>
      <c r="E24" s="7"/>
      <c r="F24" s="7"/>
      <c r="G24" s="7"/>
      <c r="H24" s="7"/>
      <c r="I24" s="7"/>
      <c r="J24" s="7"/>
      <c r="K24" s="7"/>
      <c r="L24" s="7"/>
      <c r="M24" s="7">
        <v>2</v>
      </c>
      <c r="N24" s="7"/>
      <c r="O24" s="7"/>
      <c r="P24" s="7"/>
      <c r="Q24" s="7"/>
      <c r="R24" s="7">
        <v>0.5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2.5</v>
      </c>
    </row>
    <row r="25" spans="1:35" x14ac:dyDescent="0.25">
      <c r="A25" s="27">
        <v>19</v>
      </c>
      <c r="B25" s="8" t="s">
        <v>60</v>
      </c>
      <c r="C25" s="14" t="s">
        <v>61</v>
      </c>
      <c r="D25" s="7"/>
      <c r="E25" s="7"/>
      <c r="F25" s="7"/>
      <c r="G25" s="7"/>
      <c r="H25" s="7"/>
      <c r="I25" s="7"/>
      <c r="J25" s="7"/>
      <c r="K25" s="7"/>
      <c r="L25" s="7"/>
      <c r="M25" s="7">
        <v>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25">
      <c r="A26" s="27">
        <v>20</v>
      </c>
      <c r="B26" s="8" t="s">
        <v>50</v>
      </c>
      <c r="C26" s="9" t="s">
        <v>62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>
        <v>2.5</v>
      </c>
      <c r="Q26" s="7"/>
      <c r="R26" s="7">
        <v>0.5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3</v>
      </c>
    </row>
    <row r="27" spans="1:35" x14ac:dyDescent="0.25">
      <c r="A27" s="27">
        <v>21</v>
      </c>
      <c r="B27" s="8" t="s">
        <v>31</v>
      </c>
      <c r="C27" s="9" t="s">
        <v>63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>
        <v>2.5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2.5</v>
      </c>
    </row>
    <row r="28" spans="1:35" x14ac:dyDescent="0.25">
      <c r="A28" s="27">
        <v>22</v>
      </c>
      <c r="B28" s="8" t="s">
        <v>50</v>
      </c>
      <c r="C28" s="9" t="s">
        <v>64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>
        <v>2</v>
      </c>
      <c r="Q28" s="7"/>
      <c r="R28" s="7">
        <v>4</v>
      </c>
      <c r="S28" s="7">
        <v>3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9</v>
      </c>
    </row>
    <row r="29" spans="1:35" x14ac:dyDescent="0.25">
      <c r="A29" s="27">
        <v>23</v>
      </c>
      <c r="B29" s="48" t="s">
        <v>6</v>
      </c>
      <c r="C29" s="48" t="s">
        <v>65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>
        <v>1</v>
      </c>
      <c r="Q29" s="7"/>
      <c r="R29" s="7"/>
      <c r="S29" s="7">
        <v>2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3</v>
      </c>
    </row>
    <row r="30" spans="1:35" x14ac:dyDescent="0.25">
      <c r="A30" s="27">
        <v>24</v>
      </c>
      <c r="B30" s="8" t="s">
        <v>31</v>
      </c>
      <c r="C30" s="9" t="s">
        <v>66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>
        <v>3</v>
      </c>
      <c r="R30" s="7">
        <v>4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7</v>
      </c>
    </row>
    <row r="31" spans="1:35" x14ac:dyDescent="0.25">
      <c r="A31" s="27">
        <v>25</v>
      </c>
      <c r="B31" s="8" t="s">
        <v>31</v>
      </c>
      <c r="C31" s="9" t="s">
        <v>67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>
        <v>2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2</v>
      </c>
    </row>
    <row r="32" spans="1:35" x14ac:dyDescent="0.25">
      <c r="A32" s="27">
        <v>26</v>
      </c>
      <c r="B32" s="8" t="s">
        <v>50</v>
      </c>
      <c r="C32" s="9" t="s">
        <v>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2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</v>
      </c>
    </row>
    <row r="33" spans="1:35" x14ac:dyDescent="0.25">
      <c r="A33" s="27">
        <v>27</v>
      </c>
      <c r="B33" s="8" t="s">
        <v>50</v>
      </c>
      <c r="C33" s="9" t="s">
        <v>69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>
        <v>2</v>
      </c>
      <c r="T33" s="7">
        <v>2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4</v>
      </c>
    </row>
    <row r="34" spans="1:35" x14ac:dyDescent="0.25">
      <c r="A34" s="27">
        <v>28</v>
      </c>
      <c r="B34" s="8" t="s">
        <v>50</v>
      </c>
      <c r="C34" s="9" t="s">
        <v>70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3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3</v>
      </c>
    </row>
    <row r="35" spans="1:35" x14ac:dyDescent="0.25">
      <c r="A35" s="27">
        <v>29</v>
      </c>
      <c r="B35" s="8" t="s">
        <v>27</v>
      </c>
      <c r="C35" s="9" t="s">
        <v>29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0.5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0.5</v>
      </c>
    </row>
    <row r="36" spans="1:35" x14ac:dyDescent="0.25">
      <c r="A36" s="27">
        <v>30</v>
      </c>
      <c r="B36" s="8" t="s">
        <v>50</v>
      </c>
      <c r="C36" s="9" t="s">
        <v>71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3.5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3.5</v>
      </c>
    </row>
    <row r="37" spans="1:35" x14ac:dyDescent="0.25">
      <c r="A37" s="27">
        <v>31</v>
      </c>
      <c r="B37" s="8" t="s">
        <v>72</v>
      </c>
      <c r="C37" s="9" t="s">
        <v>73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>
        <v>6</v>
      </c>
      <c r="AA37" s="7"/>
      <c r="AB37" s="7"/>
      <c r="AC37" s="7"/>
      <c r="AD37" s="7"/>
      <c r="AE37" s="7"/>
      <c r="AF37" s="7"/>
      <c r="AG37" s="7"/>
      <c r="AH37" s="7"/>
      <c r="AI37" s="2">
        <f t="shared" si="0"/>
        <v>6</v>
      </c>
    </row>
    <row r="38" spans="1:35" x14ac:dyDescent="0.25">
      <c r="A38" s="27">
        <v>32</v>
      </c>
      <c r="B38" s="8" t="s">
        <v>50</v>
      </c>
      <c r="C38" s="9" t="s">
        <v>74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>
        <v>5</v>
      </c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5</v>
      </c>
    </row>
    <row r="39" spans="1:35" x14ac:dyDescent="0.25">
      <c r="A39" s="27">
        <v>33</v>
      </c>
      <c r="B39" s="8" t="s">
        <v>50</v>
      </c>
      <c r="C39" s="9" t="s">
        <v>75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>
        <v>1</v>
      </c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7">
        <v>34</v>
      </c>
      <c r="B40" s="8" t="s">
        <v>50</v>
      </c>
      <c r="C40" s="9" t="s">
        <v>76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>
        <v>3</v>
      </c>
      <c r="AB40" s="11"/>
      <c r="AC40" s="11"/>
      <c r="AD40" s="11"/>
      <c r="AE40" s="11"/>
      <c r="AF40" s="11"/>
      <c r="AG40" s="11"/>
      <c r="AH40" s="11"/>
      <c r="AI40" s="2">
        <f t="shared" si="0"/>
        <v>3</v>
      </c>
    </row>
    <row r="41" spans="1:35" x14ac:dyDescent="0.25">
      <c r="A41" s="27">
        <v>35</v>
      </c>
      <c r="B41" s="8" t="s">
        <v>7</v>
      </c>
      <c r="C41" s="9" t="s">
        <v>77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>
        <v>0.5</v>
      </c>
      <c r="AB41" s="11"/>
      <c r="AC41" s="11"/>
      <c r="AD41" s="11"/>
      <c r="AE41" s="11"/>
      <c r="AF41" s="11"/>
      <c r="AG41" s="11"/>
      <c r="AH41" s="11"/>
      <c r="AI41" s="2">
        <f t="shared" si="0"/>
        <v>0.5</v>
      </c>
    </row>
    <row r="42" spans="1:35" x14ac:dyDescent="0.25">
      <c r="A42" s="27">
        <v>36</v>
      </c>
      <c r="B42" s="8" t="s">
        <v>7</v>
      </c>
      <c r="C42" s="9" t="s">
        <v>78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>
        <v>0.5</v>
      </c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7">
        <v>37</v>
      </c>
      <c r="B43" s="8" t="s">
        <v>50</v>
      </c>
      <c r="C43" s="9" t="s">
        <v>79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>
        <v>4</v>
      </c>
      <c r="AB43" s="11"/>
      <c r="AC43" s="11"/>
      <c r="AD43" s="11">
        <v>7</v>
      </c>
      <c r="AE43" s="11">
        <v>4</v>
      </c>
      <c r="AF43" s="11"/>
      <c r="AG43" s="11"/>
      <c r="AH43" s="11"/>
      <c r="AI43" s="2">
        <f t="shared" si="0"/>
        <v>15</v>
      </c>
    </row>
    <row r="44" spans="1:35" x14ac:dyDescent="0.25">
      <c r="A44" s="27">
        <v>38</v>
      </c>
      <c r="B44" s="48" t="s">
        <v>6</v>
      </c>
      <c r="C44" s="48" t="s">
        <v>81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>
        <v>0.5</v>
      </c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7">
        <v>39</v>
      </c>
      <c r="B45" s="48" t="s">
        <v>6</v>
      </c>
      <c r="C45" s="48" t="s">
        <v>80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>
        <v>0.5</v>
      </c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7">
        <v>40</v>
      </c>
      <c r="B46" s="48" t="s">
        <v>6</v>
      </c>
      <c r="C46" s="48" t="s">
        <v>82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>
        <v>1</v>
      </c>
      <c r="AE46" s="11"/>
      <c r="AF46" s="11"/>
      <c r="AG46" s="11"/>
      <c r="AH46" s="11"/>
      <c r="AI46" s="2">
        <f t="shared" si="0"/>
        <v>1</v>
      </c>
    </row>
    <row r="47" spans="1:35" x14ac:dyDescent="0.25">
      <c r="A47" s="27">
        <v>41</v>
      </c>
      <c r="B47" s="8" t="s">
        <v>24</v>
      </c>
      <c r="C47" s="9" t="s">
        <v>83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>
        <v>0.5</v>
      </c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7">
        <v>42</v>
      </c>
      <c r="B48" s="8" t="s">
        <v>50</v>
      </c>
      <c r="C48" s="9" t="s">
        <v>84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>
        <v>4</v>
      </c>
      <c r="AF48" s="11"/>
      <c r="AG48" s="11"/>
      <c r="AH48" s="11"/>
      <c r="AI48" s="2">
        <f t="shared" si="0"/>
        <v>4</v>
      </c>
    </row>
    <row r="49" spans="1:35" x14ac:dyDescent="0.25">
      <c r="A49" s="27">
        <v>43</v>
      </c>
      <c r="B49" s="48" t="s">
        <v>6</v>
      </c>
      <c r="C49" s="48" t="s">
        <v>85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>
        <v>0.5</v>
      </c>
      <c r="AF49" s="11"/>
      <c r="AG49" s="11"/>
      <c r="AH49" s="11"/>
      <c r="AI49" s="2">
        <f t="shared" si="0"/>
        <v>0.5</v>
      </c>
    </row>
    <row r="50" spans="1:35" x14ac:dyDescent="0.25">
      <c r="A50" s="27">
        <v>44</v>
      </c>
      <c r="B50" s="8" t="s">
        <v>24</v>
      </c>
      <c r="C50" s="9" t="s">
        <v>86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>
        <v>0.5</v>
      </c>
      <c r="AF50" s="11"/>
      <c r="AG50" s="11"/>
      <c r="AH50" s="11"/>
      <c r="AI50" s="2">
        <f t="shared" si="0"/>
        <v>0.5</v>
      </c>
    </row>
    <row r="51" spans="1:35" x14ac:dyDescent="0.25">
      <c r="A51" s="27">
        <v>45</v>
      </c>
      <c r="B51" s="8" t="s">
        <v>24</v>
      </c>
      <c r="C51" s="9" t="s">
        <v>87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>
        <v>0.5</v>
      </c>
      <c r="AF51" s="11"/>
      <c r="AG51" s="11"/>
      <c r="AH51" s="11"/>
      <c r="AI51" s="2">
        <f t="shared" si="0"/>
        <v>0.5</v>
      </c>
    </row>
    <row r="52" spans="1:35" x14ac:dyDescent="0.25">
      <c r="A52" s="27">
        <v>46</v>
      </c>
      <c r="B52" s="8" t="s">
        <v>24</v>
      </c>
      <c r="C52" s="9" t="s">
        <v>88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>
        <v>0.5</v>
      </c>
      <c r="AF52" s="11"/>
      <c r="AG52" s="11"/>
      <c r="AH52" s="11"/>
      <c r="AI52" s="2">
        <f t="shared" si="0"/>
        <v>0.5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11</v>
      </c>
      <c r="E107" s="12">
        <f t="shared" si="1"/>
        <v>11</v>
      </c>
      <c r="F107" s="12">
        <f t="shared" si="1"/>
        <v>11</v>
      </c>
      <c r="G107" s="3">
        <f t="shared" si="1"/>
        <v>9</v>
      </c>
      <c r="H107" s="3">
        <f t="shared" si="1"/>
        <v>0</v>
      </c>
      <c r="I107" s="3">
        <f t="shared" si="1"/>
        <v>9</v>
      </c>
      <c r="J107" s="3">
        <f t="shared" si="1"/>
        <v>8</v>
      </c>
      <c r="K107" s="3">
        <f t="shared" si="1"/>
        <v>9</v>
      </c>
      <c r="L107" s="3">
        <f t="shared" si="1"/>
        <v>9</v>
      </c>
      <c r="M107" s="3">
        <f t="shared" si="1"/>
        <v>9</v>
      </c>
      <c r="N107" s="3">
        <f t="shared" si="1"/>
        <v>0</v>
      </c>
      <c r="O107" s="3">
        <f t="shared" si="1"/>
        <v>0</v>
      </c>
      <c r="P107" s="3">
        <f t="shared" si="1"/>
        <v>11</v>
      </c>
      <c r="Q107" s="3">
        <f t="shared" si="1"/>
        <v>11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11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11</v>
      </c>
      <c r="AE107" s="3">
        <f t="shared" si="1"/>
        <v>11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177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AI107"/>
  <sheetViews>
    <sheetView zoomScaleNormal="100" workbookViewId="0">
      <pane xSplit="3" topLeftCell="D1" activePane="topRight" state="frozen"/>
      <selection pane="topRight" activeCell="B59" sqref="B59:C59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50</v>
      </c>
      <c r="C7" s="9" t="s">
        <v>84</v>
      </c>
      <c r="D7" s="13">
        <v>2</v>
      </c>
      <c r="E7" s="5"/>
      <c r="F7" s="5"/>
      <c r="G7" s="5"/>
      <c r="H7" s="5"/>
      <c r="I7" s="5"/>
      <c r="J7" s="5"/>
      <c r="K7" s="5"/>
      <c r="L7" s="5">
        <v>0.5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2.5</v>
      </c>
    </row>
    <row r="8" spans="1:35" x14ac:dyDescent="0.25">
      <c r="A8" s="27">
        <v>2</v>
      </c>
      <c r="B8" s="8" t="s">
        <v>50</v>
      </c>
      <c r="C8" s="9" t="s">
        <v>89</v>
      </c>
      <c r="D8" s="7">
        <v>8</v>
      </c>
      <c r="E8" s="7"/>
      <c r="F8" s="7"/>
      <c r="G8" s="7"/>
      <c r="H8" s="7"/>
      <c r="I8" s="7"/>
      <c r="J8" s="7"/>
      <c r="K8" s="7"/>
      <c r="L8" s="7">
        <v>1</v>
      </c>
      <c r="M8" s="7">
        <v>0.5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9.5</v>
      </c>
    </row>
    <row r="9" spans="1:35" x14ac:dyDescent="0.25">
      <c r="A9" s="27">
        <v>3</v>
      </c>
      <c r="B9" s="8" t="s">
        <v>50</v>
      </c>
      <c r="C9" s="9" t="s">
        <v>59</v>
      </c>
      <c r="D9" s="7">
        <v>1</v>
      </c>
      <c r="E9" s="7">
        <v>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</v>
      </c>
    </row>
    <row r="10" spans="1:35" x14ac:dyDescent="0.25">
      <c r="A10" s="27">
        <v>4</v>
      </c>
      <c r="B10" s="8" t="s">
        <v>50</v>
      </c>
      <c r="C10" s="9" t="s">
        <v>91</v>
      </c>
      <c r="D10" s="7"/>
      <c r="E10" s="7">
        <v>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7">
        <v>5</v>
      </c>
      <c r="B11" s="8" t="s">
        <v>50</v>
      </c>
      <c r="C11" s="9" t="s">
        <v>62</v>
      </c>
      <c r="D11" s="7"/>
      <c r="E11" s="7">
        <v>3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3</v>
      </c>
    </row>
    <row r="12" spans="1:35" x14ac:dyDescent="0.25">
      <c r="A12" s="27">
        <v>6</v>
      </c>
      <c r="B12" s="8" t="s">
        <v>50</v>
      </c>
      <c r="C12" s="9" t="s">
        <v>68</v>
      </c>
      <c r="D12" s="7"/>
      <c r="E12" s="7">
        <v>0.5</v>
      </c>
      <c r="F12" s="7"/>
      <c r="G12" s="7"/>
      <c r="H12" s="7"/>
      <c r="I12" s="7">
        <v>0.1</v>
      </c>
      <c r="J12" s="7">
        <v>3</v>
      </c>
      <c r="K12" s="7">
        <v>1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4.5999999999999996</v>
      </c>
    </row>
    <row r="13" spans="1:35" x14ac:dyDescent="0.25">
      <c r="A13" s="27">
        <v>7</v>
      </c>
      <c r="B13" s="8" t="s">
        <v>50</v>
      </c>
      <c r="C13" s="9" t="s">
        <v>69</v>
      </c>
      <c r="D13" s="7"/>
      <c r="E13" s="7">
        <v>0.3</v>
      </c>
      <c r="F13" s="7"/>
      <c r="G13" s="7"/>
      <c r="H13" s="7"/>
      <c r="I13" s="7">
        <v>0.5</v>
      </c>
      <c r="J13" s="7"/>
      <c r="K13" s="7">
        <v>2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2.8</v>
      </c>
    </row>
    <row r="14" spans="1:35" x14ac:dyDescent="0.25">
      <c r="A14" s="27">
        <v>8</v>
      </c>
      <c r="B14" s="8" t="s">
        <v>50</v>
      </c>
      <c r="C14" s="9" t="s">
        <v>70</v>
      </c>
      <c r="D14" s="7"/>
      <c r="E14" s="7">
        <v>0.2</v>
      </c>
      <c r="F14" s="7"/>
      <c r="G14" s="7"/>
      <c r="H14" s="7"/>
      <c r="I14" s="7">
        <v>0.1</v>
      </c>
      <c r="J14" s="7"/>
      <c r="K14" s="7">
        <v>0.5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0.8</v>
      </c>
    </row>
    <row r="15" spans="1:35" x14ac:dyDescent="0.25">
      <c r="A15" s="27">
        <v>9</v>
      </c>
      <c r="B15" s="8" t="s">
        <v>31</v>
      </c>
      <c r="C15" s="9" t="s">
        <v>90</v>
      </c>
      <c r="D15" s="7"/>
      <c r="E15" s="7">
        <v>1</v>
      </c>
      <c r="F15" s="7">
        <v>4</v>
      </c>
      <c r="G15" s="7"/>
      <c r="H15" s="7"/>
      <c r="I15" s="7"/>
      <c r="J15" s="7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7</v>
      </c>
    </row>
    <row r="16" spans="1:35" x14ac:dyDescent="0.25">
      <c r="A16" s="27">
        <v>10</v>
      </c>
      <c r="B16" s="8" t="s">
        <v>50</v>
      </c>
      <c r="C16" s="9" t="s">
        <v>71</v>
      </c>
      <c r="D16" s="7"/>
      <c r="E16" s="7"/>
      <c r="F16" s="7">
        <v>0.5</v>
      </c>
      <c r="G16" s="7"/>
      <c r="H16" s="7"/>
      <c r="I16" s="7"/>
      <c r="J16" s="7"/>
      <c r="K16" s="7"/>
      <c r="L16" s="7">
        <v>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2.5</v>
      </c>
    </row>
    <row r="17" spans="1:35" x14ac:dyDescent="0.25">
      <c r="A17" s="27">
        <v>11</v>
      </c>
      <c r="B17" s="9" t="s">
        <v>50</v>
      </c>
      <c r="C17" s="9" t="s">
        <v>64</v>
      </c>
      <c r="D17" s="7"/>
      <c r="E17" s="7"/>
      <c r="F17" s="7">
        <v>2.5</v>
      </c>
      <c r="G17" s="7"/>
      <c r="H17" s="7"/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3.5</v>
      </c>
    </row>
    <row r="18" spans="1:35" x14ac:dyDescent="0.25">
      <c r="A18" s="27">
        <v>12</v>
      </c>
      <c r="B18" s="9" t="s">
        <v>50</v>
      </c>
      <c r="C18" s="9" t="s">
        <v>93</v>
      </c>
      <c r="D18" s="7"/>
      <c r="E18" s="7"/>
      <c r="F18" s="7">
        <v>0.5</v>
      </c>
      <c r="G18" s="7"/>
      <c r="H18" s="7"/>
      <c r="I18" s="7">
        <v>0.1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0.6</v>
      </c>
    </row>
    <row r="19" spans="1:35" x14ac:dyDescent="0.25">
      <c r="A19" s="27">
        <v>13</v>
      </c>
      <c r="B19" s="9" t="s">
        <v>50</v>
      </c>
      <c r="C19" s="9" t="s">
        <v>92</v>
      </c>
      <c r="D19" s="7"/>
      <c r="E19" s="7"/>
      <c r="F19" s="7">
        <v>2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25">
      <c r="A20" s="27">
        <v>14</v>
      </c>
      <c r="B20" s="9" t="s">
        <v>50</v>
      </c>
      <c r="C20" s="9" t="s">
        <v>94</v>
      </c>
      <c r="D20" s="7"/>
      <c r="E20" s="7"/>
      <c r="F20" s="7">
        <v>1.5</v>
      </c>
      <c r="G20" s="7"/>
      <c r="H20" s="7"/>
      <c r="I20" s="7">
        <v>5</v>
      </c>
      <c r="J20" s="7"/>
      <c r="K20" s="7">
        <v>2</v>
      </c>
      <c r="L20" s="7">
        <v>1</v>
      </c>
      <c r="M20" s="7"/>
      <c r="N20" s="7"/>
      <c r="O20" s="7"/>
      <c r="P20" s="7"/>
      <c r="Q20" s="7"/>
      <c r="R20" s="7"/>
      <c r="S20" s="7"/>
      <c r="T20" s="7">
        <v>2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11.5</v>
      </c>
    </row>
    <row r="21" spans="1:35" x14ac:dyDescent="0.25">
      <c r="A21" s="27">
        <v>15</v>
      </c>
      <c r="B21" s="9" t="s">
        <v>50</v>
      </c>
      <c r="C21" s="9" t="s">
        <v>75</v>
      </c>
      <c r="D21" s="7"/>
      <c r="E21" s="7"/>
      <c r="F21" s="7"/>
      <c r="G21" s="7"/>
      <c r="H21" s="7"/>
      <c r="I21" s="7">
        <v>0.1</v>
      </c>
      <c r="J21" s="7"/>
      <c r="K21" s="7"/>
      <c r="L21" s="7">
        <v>1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1.1000000000000001</v>
      </c>
    </row>
    <row r="22" spans="1:35" x14ac:dyDescent="0.25">
      <c r="A22" s="27">
        <v>16</v>
      </c>
      <c r="B22" s="9" t="s">
        <v>50</v>
      </c>
      <c r="C22" s="9" t="s">
        <v>74</v>
      </c>
      <c r="D22" s="7"/>
      <c r="E22" s="7"/>
      <c r="F22" s="7"/>
      <c r="G22" s="7"/>
      <c r="H22" s="7"/>
      <c r="I22" s="7">
        <v>0.1</v>
      </c>
      <c r="J22" s="7"/>
      <c r="K22" s="7"/>
      <c r="L22" s="7">
        <v>1.5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1.6</v>
      </c>
    </row>
    <row r="23" spans="1:35" x14ac:dyDescent="0.25">
      <c r="A23" s="27">
        <v>17</v>
      </c>
      <c r="B23" s="9" t="s">
        <v>50</v>
      </c>
      <c r="C23" s="9" t="s">
        <v>95</v>
      </c>
      <c r="D23" s="7"/>
      <c r="E23" s="7"/>
      <c r="F23" s="7"/>
      <c r="G23" s="7"/>
      <c r="H23" s="7"/>
      <c r="I23" s="7">
        <v>0.5</v>
      </c>
      <c r="J23" s="7"/>
      <c r="K23" s="7"/>
      <c r="L23" s="7"/>
      <c r="M23" s="7"/>
      <c r="N23" s="7"/>
      <c r="O23" s="7"/>
      <c r="P23" s="7">
        <v>2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2.5</v>
      </c>
    </row>
    <row r="24" spans="1:35" x14ac:dyDescent="0.25">
      <c r="A24" s="27">
        <v>18</v>
      </c>
      <c r="B24" s="9" t="s">
        <v>50</v>
      </c>
      <c r="C24" s="9" t="s">
        <v>76</v>
      </c>
      <c r="D24" s="7"/>
      <c r="E24" s="7"/>
      <c r="F24" s="7"/>
      <c r="G24" s="7"/>
      <c r="H24" s="7"/>
      <c r="I24" s="7">
        <v>0.5</v>
      </c>
      <c r="J24" s="7"/>
      <c r="K24" s="7"/>
      <c r="L24" s="7"/>
      <c r="M24" s="7"/>
      <c r="N24" s="7"/>
      <c r="O24" s="7"/>
      <c r="P24" s="7">
        <v>3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3.5</v>
      </c>
    </row>
    <row r="25" spans="1:35" x14ac:dyDescent="0.25">
      <c r="A25" s="27">
        <v>19</v>
      </c>
      <c r="B25" s="9" t="s">
        <v>6</v>
      </c>
      <c r="C25" s="9" t="s">
        <v>96</v>
      </c>
      <c r="D25" s="7"/>
      <c r="E25" s="7"/>
      <c r="F25" s="7"/>
      <c r="G25" s="7"/>
      <c r="H25" s="7"/>
      <c r="I25" s="7"/>
      <c r="J25" s="7">
        <v>1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</v>
      </c>
    </row>
    <row r="26" spans="1:35" x14ac:dyDescent="0.25">
      <c r="A26" s="27">
        <v>20</v>
      </c>
      <c r="B26" s="9" t="s">
        <v>6</v>
      </c>
      <c r="C26" s="9" t="s">
        <v>97</v>
      </c>
      <c r="D26" s="7"/>
      <c r="E26" s="7"/>
      <c r="F26" s="7"/>
      <c r="G26" s="7"/>
      <c r="H26" s="7"/>
      <c r="I26" s="7"/>
      <c r="J26" s="7">
        <v>1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</v>
      </c>
    </row>
    <row r="27" spans="1:35" x14ac:dyDescent="0.25">
      <c r="A27" s="27">
        <v>21</v>
      </c>
      <c r="B27" s="9" t="s">
        <v>6</v>
      </c>
      <c r="C27" s="9" t="s">
        <v>65</v>
      </c>
      <c r="D27" s="7"/>
      <c r="E27" s="7"/>
      <c r="F27" s="7"/>
      <c r="G27" s="7"/>
      <c r="H27" s="7"/>
      <c r="I27" s="7"/>
      <c r="J27" s="7">
        <v>2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7">
        <v>22</v>
      </c>
      <c r="B28" s="8" t="s">
        <v>50</v>
      </c>
      <c r="C28" s="9" t="s">
        <v>98</v>
      </c>
      <c r="D28" s="7"/>
      <c r="E28" s="7"/>
      <c r="F28" s="7"/>
      <c r="G28" s="7"/>
      <c r="H28" s="7"/>
      <c r="I28" s="7"/>
      <c r="J28" s="7"/>
      <c r="K28" s="7">
        <v>2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7">
        <v>23</v>
      </c>
      <c r="B29" s="8" t="s">
        <v>50</v>
      </c>
      <c r="C29" s="9" t="s">
        <v>99</v>
      </c>
      <c r="D29" s="7"/>
      <c r="E29" s="7"/>
      <c r="F29" s="7"/>
      <c r="G29" s="7"/>
      <c r="H29" s="7"/>
      <c r="I29" s="7"/>
      <c r="J29" s="7"/>
      <c r="K29" s="7">
        <v>2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2</v>
      </c>
    </row>
    <row r="30" spans="1:35" x14ac:dyDescent="0.25">
      <c r="A30" s="27">
        <v>24</v>
      </c>
      <c r="B30" s="8" t="s">
        <v>50</v>
      </c>
      <c r="C30" s="9" t="s">
        <v>79</v>
      </c>
      <c r="D30" s="7"/>
      <c r="E30" s="7"/>
      <c r="F30" s="7"/>
      <c r="G30" s="7"/>
      <c r="H30" s="7"/>
      <c r="I30" s="7"/>
      <c r="J30" s="7"/>
      <c r="K30" s="7">
        <v>1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7">
        <v>25</v>
      </c>
      <c r="B31" s="9" t="s">
        <v>50</v>
      </c>
      <c r="C31" s="9" t="s">
        <v>100</v>
      </c>
      <c r="D31" s="7"/>
      <c r="E31" s="7"/>
      <c r="F31" s="7"/>
      <c r="G31" s="7"/>
      <c r="H31" s="7"/>
      <c r="I31" s="7"/>
      <c r="J31" s="7"/>
      <c r="K31" s="7">
        <v>0.5</v>
      </c>
      <c r="L31" s="7"/>
      <c r="M31" s="7"/>
      <c r="N31" s="7"/>
      <c r="O31" s="7"/>
      <c r="P31" s="7">
        <v>0.5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</v>
      </c>
    </row>
    <row r="32" spans="1:35" x14ac:dyDescent="0.25">
      <c r="A32" s="27">
        <v>26</v>
      </c>
      <c r="B32" s="8" t="s">
        <v>50</v>
      </c>
      <c r="C32" s="9" t="s">
        <v>101</v>
      </c>
      <c r="D32" s="7"/>
      <c r="E32" s="7"/>
      <c r="F32" s="7"/>
      <c r="G32" s="7"/>
      <c r="H32" s="7"/>
      <c r="I32" s="7"/>
      <c r="J32" s="7"/>
      <c r="K32" s="7"/>
      <c r="L32" s="7">
        <v>2.5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2.5</v>
      </c>
    </row>
    <row r="33" spans="1:35" x14ac:dyDescent="0.25">
      <c r="A33" s="27">
        <v>27</v>
      </c>
      <c r="B33" s="8" t="s">
        <v>31</v>
      </c>
      <c r="C33" s="9" t="s">
        <v>102</v>
      </c>
      <c r="D33" s="7"/>
      <c r="E33" s="7"/>
      <c r="F33" s="7"/>
      <c r="G33" s="7"/>
      <c r="H33" s="7"/>
      <c r="I33" s="7"/>
      <c r="J33" s="7"/>
      <c r="K33" s="7"/>
      <c r="L33" s="7">
        <v>1.5</v>
      </c>
      <c r="M33" s="7"/>
      <c r="N33" s="7"/>
      <c r="O33" s="7"/>
      <c r="P33" s="7">
        <v>1</v>
      </c>
      <c r="Q33" s="7">
        <v>1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25">
      <c r="A34" s="27">
        <v>28</v>
      </c>
      <c r="B34" s="9" t="s">
        <v>5</v>
      </c>
      <c r="C34" s="14" t="s">
        <v>103</v>
      </c>
      <c r="D34" s="7"/>
      <c r="E34" s="7"/>
      <c r="F34" s="7"/>
      <c r="G34" s="7"/>
      <c r="H34" s="7"/>
      <c r="I34" s="7"/>
      <c r="J34" s="7"/>
      <c r="K34" s="7"/>
      <c r="L34" s="7"/>
      <c r="M34" s="7">
        <v>5.5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5.5</v>
      </c>
    </row>
    <row r="35" spans="1:35" x14ac:dyDescent="0.25">
      <c r="A35" s="27">
        <v>29</v>
      </c>
      <c r="B35" s="9" t="s">
        <v>5</v>
      </c>
      <c r="C35" s="14" t="s">
        <v>104</v>
      </c>
      <c r="D35" s="7"/>
      <c r="E35" s="7"/>
      <c r="F35" s="7"/>
      <c r="G35" s="7"/>
      <c r="H35" s="7"/>
      <c r="I35" s="7"/>
      <c r="J35" s="7"/>
      <c r="K35" s="7"/>
      <c r="L35" s="7"/>
      <c r="M35" s="7">
        <v>3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3</v>
      </c>
    </row>
    <row r="36" spans="1:35" x14ac:dyDescent="0.25">
      <c r="A36" s="27">
        <v>30</v>
      </c>
      <c r="B36" s="8" t="s">
        <v>24</v>
      </c>
      <c r="C36" s="9" t="s">
        <v>105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>
        <v>5</v>
      </c>
      <c r="O36" s="7"/>
      <c r="P36" s="7">
        <v>1</v>
      </c>
      <c r="Q36" s="7">
        <v>0.5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6.5</v>
      </c>
    </row>
    <row r="37" spans="1:35" x14ac:dyDescent="0.25">
      <c r="A37" s="27">
        <v>31</v>
      </c>
      <c r="B37" s="8" t="s">
        <v>50</v>
      </c>
      <c r="C37" s="9" t="s">
        <v>51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>
        <v>1.5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1.5</v>
      </c>
    </row>
    <row r="38" spans="1:35" x14ac:dyDescent="0.25">
      <c r="A38" s="27">
        <v>32</v>
      </c>
      <c r="B38" s="8" t="s">
        <v>50</v>
      </c>
      <c r="C38" s="9" t="s">
        <v>55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1.5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1.5</v>
      </c>
    </row>
    <row r="39" spans="1:35" x14ac:dyDescent="0.25">
      <c r="A39" s="27">
        <v>33</v>
      </c>
      <c r="B39" s="8" t="s">
        <v>50</v>
      </c>
      <c r="C39" s="9" t="s">
        <v>56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0.5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0.5</v>
      </c>
    </row>
    <row r="40" spans="1:35" x14ac:dyDescent="0.25">
      <c r="A40" s="27">
        <v>34</v>
      </c>
      <c r="B40" s="8" t="s">
        <v>39</v>
      </c>
      <c r="C40" s="9" t="s">
        <v>106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3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3</v>
      </c>
    </row>
    <row r="41" spans="1:35" x14ac:dyDescent="0.25">
      <c r="A41" s="27">
        <v>35</v>
      </c>
      <c r="B41" s="8" t="s">
        <v>31</v>
      </c>
      <c r="C41" s="9" t="s">
        <v>107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>
        <v>4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4</v>
      </c>
    </row>
    <row r="42" spans="1:35" x14ac:dyDescent="0.25">
      <c r="A42" s="27">
        <v>36</v>
      </c>
      <c r="B42" s="8" t="s">
        <v>24</v>
      </c>
      <c r="C42" s="9" t="s">
        <v>108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>
        <v>2</v>
      </c>
      <c r="R42" s="11">
        <v>2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4</v>
      </c>
    </row>
    <row r="43" spans="1:35" x14ac:dyDescent="0.25">
      <c r="A43" s="27">
        <v>37</v>
      </c>
      <c r="B43" s="10" t="s">
        <v>39</v>
      </c>
      <c r="C43" s="14" t="s">
        <v>109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>
        <v>1.5</v>
      </c>
      <c r="R43" s="11"/>
      <c r="S43" s="11"/>
      <c r="T43" s="11"/>
      <c r="U43" s="11"/>
      <c r="V43" s="11"/>
      <c r="W43" s="11"/>
      <c r="X43" s="11"/>
      <c r="Y43" s="11"/>
      <c r="Z43" s="11"/>
      <c r="AA43" s="11">
        <v>3</v>
      </c>
      <c r="AB43" s="11"/>
      <c r="AC43" s="11"/>
      <c r="AD43" s="11"/>
      <c r="AE43" s="11"/>
      <c r="AF43" s="11"/>
      <c r="AG43" s="11"/>
      <c r="AH43" s="11"/>
      <c r="AI43" s="2">
        <f t="shared" si="0"/>
        <v>4.5</v>
      </c>
    </row>
    <row r="44" spans="1:35" x14ac:dyDescent="0.25">
      <c r="A44" s="27">
        <v>38</v>
      </c>
      <c r="B44" s="10" t="s">
        <v>39</v>
      </c>
      <c r="C44" s="14" t="s">
        <v>110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>
        <v>2</v>
      </c>
      <c r="R44" s="11">
        <v>2</v>
      </c>
      <c r="S44" s="11"/>
      <c r="T44" s="11">
        <v>2</v>
      </c>
      <c r="U44" s="11"/>
      <c r="V44" s="11"/>
      <c r="W44" s="11"/>
      <c r="X44" s="11"/>
      <c r="Y44" s="11">
        <v>3</v>
      </c>
      <c r="Z44" s="11">
        <v>3</v>
      </c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12</v>
      </c>
    </row>
    <row r="45" spans="1:35" x14ac:dyDescent="0.25">
      <c r="A45" s="27">
        <v>39</v>
      </c>
      <c r="B45" s="10" t="s">
        <v>125</v>
      </c>
      <c r="C45" s="14" t="s">
        <v>111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2.5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2.5</v>
      </c>
    </row>
    <row r="46" spans="1:35" x14ac:dyDescent="0.25">
      <c r="A46" s="27">
        <v>40</v>
      </c>
      <c r="B46" s="10" t="s">
        <v>125</v>
      </c>
      <c r="C46" s="14" t="s">
        <v>112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>
        <v>2.5</v>
      </c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2.5</v>
      </c>
    </row>
    <row r="47" spans="1:35" x14ac:dyDescent="0.25">
      <c r="A47" s="27">
        <v>41</v>
      </c>
      <c r="B47" s="9" t="s">
        <v>50</v>
      </c>
      <c r="C47" s="9" t="s">
        <v>113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>
        <v>2</v>
      </c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2</v>
      </c>
    </row>
    <row r="48" spans="1:35" x14ac:dyDescent="0.25">
      <c r="A48" s="27">
        <v>42</v>
      </c>
      <c r="B48" s="10" t="s">
        <v>39</v>
      </c>
      <c r="C48" s="14" t="s">
        <v>114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3.5</v>
      </c>
      <c r="T48" s="11"/>
      <c r="U48" s="11"/>
      <c r="V48" s="11"/>
      <c r="W48" s="11"/>
      <c r="X48" s="11"/>
      <c r="Y48" s="11">
        <v>0.5</v>
      </c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4</v>
      </c>
    </row>
    <row r="49" spans="1:35" x14ac:dyDescent="0.25">
      <c r="A49" s="27">
        <v>43</v>
      </c>
      <c r="B49" s="10" t="s">
        <v>39</v>
      </c>
      <c r="C49" s="14" t="s">
        <v>115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3.5</v>
      </c>
      <c r="T49" s="11">
        <v>0.5</v>
      </c>
      <c r="U49" s="11"/>
      <c r="V49" s="11"/>
      <c r="W49" s="11">
        <v>2</v>
      </c>
      <c r="X49" s="11"/>
      <c r="Y49" s="11">
        <v>3</v>
      </c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9</v>
      </c>
    </row>
    <row r="50" spans="1:35" x14ac:dyDescent="0.25">
      <c r="A50" s="27">
        <v>44</v>
      </c>
      <c r="B50" s="10" t="s">
        <v>39</v>
      </c>
      <c r="C50" s="14" t="s">
        <v>116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>
        <v>3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25">
      <c r="A51" s="27">
        <v>45</v>
      </c>
      <c r="B51" s="10" t="s">
        <v>39</v>
      </c>
      <c r="C51" s="14" t="s">
        <v>117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1.5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1.5</v>
      </c>
    </row>
    <row r="52" spans="1:35" x14ac:dyDescent="0.25">
      <c r="A52" s="27">
        <v>46</v>
      </c>
      <c r="B52" s="10" t="s">
        <v>60</v>
      </c>
      <c r="C52" s="14" t="s">
        <v>118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>
        <v>2.5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2.5</v>
      </c>
    </row>
    <row r="53" spans="1:35" x14ac:dyDescent="0.25">
      <c r="A53" s="27">
        <v>47</v>
      </c>
      <c r="B53" s="10" t="s">
        <v>39</v>
      </c>
      <c r="C53" s="14" t="s">
        <v>119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>
        <v>0.5</v>
      </c>
      <c r="X53" s="11"/>
      <c r="Y53" s="11"/>
      <c r="Z53" s="11"/>
      <c r="AA53" s="11"/>
      <c r="AB53" s="11"/>
      <c r="AC53" s="11"/>
      <c r="AD53" s="11"/>
      <c r="AE53" s="11"/>
      <c r="AF53" s="11">
        <v>4</v>
      </c>
      <c r="AG53" s="11">
        <v>1</v>
      </c>
      <c r="AH53" s="11">
        <v>1</v>
      </c>
      <c r="AI53" s="2">
        <f t="shared" si="0"/>
        <v>6.5</v>
      </c>
    </row>
    <row r="54" spans="1:35" x14ac:dyDescent="0.25">
      <c r="A54" s="27">
        <v>48</v>
      </c>
      <c r="B54" s="10" t="s">
        <v>120</v>
      </c>
      <c r="C54" s="14" t="s">
        <v>121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>
        <v>4</v>
      </c>
      <c r="X54" s="11">
        <v>5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9</v>
      </c>
    </row>
    <row r="55" spans="1:35" x14ac:dyDescent="0.25">
      <c r="A55" s="27">
        <v>49</v>
      </c>
      <c r="B55" s="10" t="s">
        <v>122</v>
      </c>
      <c r="C55" s="14" t="s">
        <v>123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>
        <v>3</v>
      </c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3</v>
      </c>
    </row>
    <row r="56" spans="1:35" x14ac:dyDescent="0.25">
      <c r="A56" s="27">
        <v>50</v>
      </c>
      <c r="B56" s="10" t="s">
        <v>60</v>
      </c>
      <c r="C56" s="14" t="s">
        <v>124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>
        <v>1</v>
      </c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25">
      <c r="A57" s="27">
        <v>51</v>
      </c>
      <c r="B57" s="10" t="s">
        <v>125</v>
      </c>
      <c r="C57" s="14" t="s">
        <v>127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50"/>
      <c r="Y57" s="11">
        <v>0.5</v>
      </c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0.5</v>
      </c>
    </row>
    <row r="58" spans="1:35" x14ac:dyDescent="0.25">
      <c r="A58" s="27">
        <v>52</v>
      </c>
      <c r="B58" s="10" t="s">
        <v>125</v>
      </c>
      <c r="C58" s="14" t="s">
        <v>126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>
        <v>0.5</v>
      </c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0.5</v>
      </c>
    </row>
    <row r="59" spans="1:35" x14ac:dyDescent="0.25">
      <c r="A59" s="27">
        <v>53</v>
      </c>
      <c r="B59" s="10" t="s">
        <v>5</v>
      </c>
      <c r="C59" s="14" t="s">
        <v>128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1.5</v>
      </c>
      <c r="Z59" s="11">
        <v>2</v>
      </c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3.5</v>
      </c>
    </row>
    <row r="60" spans="1:35" x14ac:dyDescent="0.25">
      <c r="A60" s="27">
        <v>54</v>
      </c>
      <c r="B60" s="10" t="s">
        <v>5</v>
      </c>
      <c r="C60" s="14" t="s">
        <v>129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>
        <v>1</v>
      </c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1</v>
      </c>
    </row>
    <row r="61" spans="1:35" x14ac:dyDescent="0.25">
      <c r="A61" s="27">
        <v>55</v>
      </c>
      <c r="B61" s="10" t="s">
        <v>130</v>
      </c>
      <c r="C61" s="14" t="s">
        <v>131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>
        <v>3</v>
      </c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3</v>
      </c>
    </row>
    <row r="62" spans="1:35" x14ac:dyDescent="0.25">
      <c r="A62" s="27">
        <v>56</v>
      </c>
      <c r="B62" s="10" t="s">
        <v>39</v>
      </c>
      <c r="C62" s="14" t="s">
        <v>132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>
        <v>1</v>
      </c>
      <c r="AB62" s="11"/>
      <c r="AC62" s="11"/>
      <c r="AD62" s="11"/>
      <c r="AE62" s="11"/>
      <c r="AF62" s="11"/>
      <c r="AG62" s="11"/>
      <c r="AH62" s="11"/>
      <c r="AI62" s="2">
        <f t="shared" si="0"/>
        <v>1</v>
      </c>
    </row>
    <row r="63" spans="1:35" x14ac:dyDescent="0.25">
      <c r="A63" s="27">
        <v>57</v>
      </c>
      <c r="B63" s="10" t="s">
        <v>133</v>
      </c>
      <c r="C63" s="14" t="s">
        <v>134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>
        <v>4</v>
      </c>
      <c r="AB63" s="11"/>
      <c r="AC63" s="11"/>
      <c r="AD63" s="11"/>
      <c r="AE63" s="11"/>
      <c r="AF63" s="11"/>
      <c r="AG63" s="11"/>
      <c r="AH63" s="11"/>
      <c r="AI63" s="2">
        <f t="shared" si="0"/>
        <v>4</v>
      </c>
    </row>
    <row r="64" spans="1:35" x14ac:dyDescent="0.25">
      <c r="A64" s="27">
        <v>58</v>
      </c>
      <c r="B64" s="10" t="s">
        <v>60</v>
      </c>
      <c r="C64" s="14" t="s">
        <v>135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>
        <v>1</v>
      </c>
      <c r="AB64" s="11"/>
      <c r="AC64" s="11"/>
      <c r="AD64" s="11">
        <v>5</v>
      </c>
      <c r="AE64" s="11"/>
      <c r="AF64" s="11"/>
      <c r="AG64" s="11"/>
      <c r="AH64" s="11"/>
      <c r="AI64" s="2">
        <f t="shared" si="0"/>
        <v>6</v>
      </c>
    </row>
    <row r="65" spans="1:35" x14ac:dyDescent="0.25">
      <c r="A65" s="27">
        <v>59</v>
      </c>
      <c r="B65" s="10" t="s">
        <v>5</v>
      </c>
      <c r="C65" s="14" t="s">
        <v>136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>
        <v>2</v>
      </c>
      <c r="AE65" s="11"/>
      <c r="AF65" s="11"/>
      <c r="AG65" s="11"/>
      <c r="AH65" s="11"/>
      <c r="AI65" s="2">
        <f t="shared" si="0"/>
        <v>2</v>
      </c>
    </row>
    <row r="66" spans="1:35" x14ac:dyDescent="0.25">
      <c r="A66" s="27">
        <v>60</v>
      </c>
      <c r="B66" s="10" t="s">
        <v>39</v>
      </c>
      <c r="C66" s="14" t="s">
        <v>137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>
        <v>2</v>
      </c>
      <c r="AE66" s="11">
        <v>2</v>
      </c>
      <c r="AF66" s="11">
        <v>1</v>
      </c>
      <c r="AG66" s="11"/>
      <c r="AH66" s="11">
        <v>3</v>
      </c>
      <c r="AI66" s="2">
        <f t="shared" si="0"/>
        <v>8</v>
      </c>
    </row>
    <row r="67" spans="1:35" x14ac:dyDescent="0.25">
      <c r="A67" s="27">
        <v>61</v>
      </c>
      <c r="B67" s="10" t="s">
        <v>60</v>
      </c>
      <c r="C67" s="14" t="s">
        <v>138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>
        <v>4</v>
      </c>
      <c r="AF67" s="11"/>
      <c r="AG67" s="11"/>
      <c r="AH67" s="11"/>
      <c r="AI67" s="2">
        <f t="shared" si="0"/>
        <v>4</v>
      </c>
    </row>
    <row r="68" spans="1:35" x14ac:dyDescent="0.25">
      <c r="A68" s="27">
        <v>62</v>
      </c>
      <c r="B68" s="10" t="s">
        <v>139</v>
      </c>
      <c r="C68" s="14" t="s">
        <v>140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>
        <v>1</v>
      </c>
      <c r="AF68" s="11"/>
      <c r="AG68" s="11"/>
      <c r="AH68" s="11"/>
      <c r="AI68" s="2">
        <f t="shared" si="0"/>
        <v>1</v>
      </c>
    </row>
    <row r="69" spans="1:35" x14ac:dyDescent="0.25">
      <c r="A69" s="27">
        <v>63</v>
      </c>
      <c r="B69" s="10" t="s">
        <v>141</v>
      </c>
      <c r="C69" s="14" t="s">
        <v>142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>
        <v>1</v>
      </c>
      <c r="AF69" s="11"/>
      <c r="AG69" s="11"/>
      <c r="AH69" s="11"/>
      <c r="AI69" s="2">
        <f t="shared" si="0"/>
        <v>1</v>
      </c>
    </row>
    <row r="70" spans="1:35" x14ac:dyDescent="0.25">
      <c r="A70" s="27">
        <v>64</v>
      </c>
      <c r="B70" s="10" t="s">
        <v>143</v>
      </c>
      <c r="C70" s="14" t="s">
        <v>144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>
        <v>1</v>
      </c>
      <c r="AF70" s="11"/>
      <c r="AG70" s="11"/>
      <c r="AH70" s="11"/>
      <c r="AI70" s="2">
        <f t="shared" si="0"/>
        <v>1</v>
      </c>
    </row>
    <row r="71" spans="1:35" x14ac:dyDescent="0.25">
      <c r="A71" s="27">
        <v>65</v>
      </c>
      <c r="B71" s="10" t="s">
        <v>143</v>
      </c>
      <c r="C71" s="14" t="s">
        <v>145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>
        <v>4</v>
      </c>
      <c r="AG71" s="11">
        <v>1</v>
      </c>
      <c r="AH71" s="11"/>
      <c r="AI71" s="2">
        <f t="shared" si="0"/>
        <v>5</v>
      </c>
    </row>
    <row r="72" spans="1:35" x14ac:dyDescent="0.25">
      <c r="A72" s="27">
        <v>66</v>
      </c>
      <c r="B72" s="10" t="s">
        <v>143</v>
      </c>
      <c r="C72" s="14" t="s">
        <v>146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>
        <v>1</v>
      </c>
      <c r="AH72" s="11"/>
      <c r="AI72" s="2">
        <f t="shared" si="0"/>
        <v>1</v>
      </c>
    </row>
    <row r="73" spans="1:35" x14ac:dyDescent="0.25">
      <c r="A73" s="27">
        <v>67</v>
      </c>
      <c r="B73" s="10" t="s">
        <v>143</v>
      </c>
      <c r="C73" s="14" t="s">
        <v>147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>
        <v>1</v>
      </c>
      <c r="AH73" s="11"/>
      <c r="AI73" s="2">
        <f t="shared" si="0"/>
        <v>1</v>
      </c>
    </row>
    <row r="74" spans="1:35" x14ac:dyDescent="0.25">
      <c r="A74" s="27">
        <v>68</v>
      </c>
      <c r="B74" s="10" t="s">
        <v>60</v>
      </c>
      <c r="C74" s="14" t="s">
        <v>148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>
        <v>5</v>
      </c>
      <c r="AH74" s="11"/>
      <c r="AI74" s="2">
        <f t="shared" si="0"/>
        <v>5</v>
      </c>
    </row>
    <row r="75" spans="1:35" x14ac:dyDescent="0.25">
      <c r="A75" s="27">
        <v>69</v>
      </c>
      <c r="B75" s="10" t="s">
        <v>39</v>
      </c>
      <c r="C75" s="14" t="s">
        <v>149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>
        <v>4</v>
      </c>
      <c r="AI75" s="2">
        <f t="shared" si="0"/>
        <v>4</v>
      </c>
    </row>
    <row r="76" spans="1:35" x14ac:dyDescent="0.25">
      <c r="A76" s="27">
        <v>70</v>
      </c>
      <c r="B76" s="10" t="s">
        <v>143</v>
      </c>
      <c r="C76" s="14" t="s">
        <v>150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>
        <v>1</v>
      </c>
      <c r="AI76" s="2">
        <f t="shared" si="0"/>
        <v>1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11</v>
      </c>
      <c r="E107" s="12">
        <f t="shared" si="1"/>
        <v>11</v>
      </c>
      <c r="F107" s="12">
        <f t="shared" si="1"/>
        <v>11</v>
      </c>
      <c r="G107" s="3">
        <f t="shared" si="1"/>
        <v>0</v>
      </c>
      <c r="H107" s="3">
        <f t="shared" si="1"/>
        <v>0</v>
      </c>
      <c r="I107" s="3">
        <f t="shared" si="1"/>
        <v>7.9999999999999991</v>
      </c>
      <c r="J107" s="3">
        <f t="shared" si="1"/>
        <v>9</v>
      </c>
      <c r="K107" s="3">
        <f t="shared" si="1"/>
        <v>11</v>
      </c>
      <c r="L107" s="3">
        <f t="shared" si="1"/>
        <v>11</v>
      </c>
      <c r="M107" s="3">
        <f t="shared" si="1"/>
        <v>9</v>
      </c>
      <c r="N107" s="3">
        <f t="shared" si="1"/>
        <v>8</v>
      </c>
      <c r="O107" s="3">
        <f t="shared" si="1"/>
        <v>0</v>
      </c>
      <c r="P107" s="3">
        <f t="shared" si="1"/>
        <v>11</v>
      </c>
      <c r="Q107" s="3">
        <f t="shared" si="1"/>
        <v>11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228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AI107"/>
  <sheetViews>
    <sheetView topLeftCell="A16" zoomScale="85" zoomScaleNormal="85" workbookViewId="0">
      <pane xSplit="3" topLeftCell="Y1" activePane="topRight" state="frozen"/>
      <selection pane="topRight" activeCell="B46" sqref="B4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50</v>
      </c>
      <c r="C7" s="9" t="s">
        <v>113</v>
      </c>
      <c r="D7" s="7"/>
      <c r="E7" s="7"/>
      <c r="F7" s="7">
        <v>1</v>
      </c>
      <c r="G7" s="7">
        <v>2.5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>SUM(H7:AH7)</f>
        <v>0</v>
      </c>
    </row>
    <row r="8" spans="1:35" x14ac:dyDescent="0.25">
      <c r="A8" s="27">
        <v>2</v>
      </c>
      <c r="B8" s="8" t="s">
        <v>50</v>
      </c>
      <c r="C8" s="9" t="s">
        <v>151</v>
      </c>
      <c r="D8" s="7"/>
      <c r="E8" s="7"/>
      <c r="F8" s="7">
        <v>3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ref="AI8:AI106" si="0">SUM(D8:AH8)</f>
        <v>3</v>
      </c>
    </row>
    <row r="9" spans="1:35" x14ac:dyDescent="0.25">
      <c r="A9" s="27">
        <v>3</v>
      </c>
      <c r="B9" s="8" t="s">
        <v>50</v>
      </c>
      <c r="C9" s="9" t="s">
        <v>152</v>
      </c>
      <c r="D9" s="7"/>
      <c r="E9" s="7"/>
      <c r="F9" s="7"/>
      <c r="G9" s="7">
        <v>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2</v>
      </c>
    </row>
    <row r="10" spans="1:35" x14ac:dyDescent="0.25">
      <c r="A10" s="27">
        <v>4</v>
      </c>
      <c r="B10" s="10" t="s">
        <v>39</v>
      </c>
      <c r="C10" s="14" t="s">
        <v>119</v>
      </c>
      <c r="D10" s="7"/>
      <c r="E10" s="7"/>
      <c r="F10" s="7">
        <v>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>
        <v>2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5</v>
      </c>
    </row>
    <row r="11" spans="1:35" x14ac:dyDescent="0.25">
      <c r="A11" s="27">
        <v>5</v>
      </c>
      <c r="B11" s="10" t="s">
        <v>39</v>
      </c>
      <c r="C11" s="14" t="s">
        <v>117</v>
      </c>
      <c r="D11" s="7"/>
      <c r="E11" s="7"/>
      <c r="F11" s="7">
        <v>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>SUM(G11:AH11)</f>
        <v>0</v>
      </c>
    </row>
    <row r="12" spans="1:35" x14ac:dyDescent="0.25">
      <c r="A12" s="27">
        <v>6</v>
      </c>
      <c r="B12" s="10" t="s">
        <v>39</v>
      </c>
      <c r="C12" s="14" t="s">
        <v>153</v>
      </c>
      <c r="D12" s="7"/>
      <c r="E12" s="7"/>
      <c r="F12" s="7"/>
      <c r="G12" s="7">
        <v>0.5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>
        <v>1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>SUM(G12:AH12)</f>
        <v>1.5</v>
      </c>
    </row>
    <row r="13" spans="1:35" x14ac:dyDescent="0.25">
      <c r="A13" s="27">
        <v>7</v>
      </c>
      <c r="B13" s="10" t="s">
        <v>60</v>
      </c>
      <c r="C13" s="14" t="s">
        <v>154</v>
      </c>
      <c r="D13" s="7"/>
      <c r="E13" s="7"/>
      <c r="F13" s="7"/>
      <c r="G13" s="7">
        <v>2</v>
      </c>
      <c r="H13" s="7"/>
      <c r="I13" s="7">
        <v>2.5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>
        <v>0.5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25">
      <c r="A14" s="27">
        <v>8</v>
      </c>
      <c r="B14" s="10" t="s">
        <v>60</v>
      </c>
      <c r="C14" s="14" t="s">
        <v>156</v>
      </c>
      <c r="D14" s="7"/>
      <c r="E14" s="7"/>
      <c r="F14" s="7"/>
      <c r="G14" s="7"/>
      <c r="H14" s="7">
        <v>1</v>
      </c>
      <c r="I14" s="7">
        <v>2.5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>
        <v>0.5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4</v>
      </c>
    </row>
    <row r="15" spans="1:35" x14ac:dyDescent="0.25">
      <c r="A15" s="27">
        <v>9</v>
      </c>
      <c r="B15" s="9" t="s">
        <v>125</v>
      </c>
      <c r="C15" s="9" t="s">
        <v>155</v>
      </c>
      <c r="D15" s="7"/>
      <c r="E15" s="7"/>
      <c r="F15" s="7"/>
      <c r="G15" s="7">
        <v>2</v>
      </c>
      <c r="H15" s="7">
        <v>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5</v>
      </c>
    </row>
    <row r="16" spans="1:35" x14ac:dyDescent="0.25">
      <c r="A16" s="27">
        <v>10</v>
      </c>
      <c r="B16" s="10" t="s">
        <v>39</v>
      </c>
      <c r="C16" s="14" t="s">
        <v>157</v>
      </c>
      <c r="D16" s="7"/>
      <c r="E16" s="7"/>
      <c r="F16" s="7"/>
      <c r="G16" s="7"/>
      <c r="H16" s="7">
        <v>2</v>
      </c>
      <c r="I16" s="7">
        <v>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</v>
      </c>
    </row>
    <row r="17" spans="1:35" x14ac:dyDescent="0.25">
      <c r="A17" s="27">
        <v>11</v>
      </c>
      <c r="B17" s="10" t="s">
        <v>39</v>
      </c>
      <c r="C17" s="14" t="s">
        <v>158</v>
      </c>
      <c r="D17" s="7"/>
      <c r="E17" s="7"/>
      <c r="F17" s="7"/>
      <c r="G17" s="7"/>
      <c r="H17" s="7">
        <v>3</v>
      </c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4</v>
      </c>
    </row>
    <row r="18" spans="1:35" x14ac:dyDescent="0.25">
      <c r="A18" s="27">
        <v>12</v>
      </c>
      <c r="B18" s="8" t="s">
        <v>159</v>
      </c>
      <c r="C18" s="9" t="s">
        <v>160</v>
      </c>
      <c r="D18" s="7"/>
      <c r="E18" s="7"/>
      <c r="F18" s="7"/>
      <c r="G18" s="7"/>
      <c r="H18" s="7"/>
      <c r="I18" s="7">
        <v>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7">
        <v>13</v>
      </c>
      <c r="B19" s="8" t="s">
        <v>159</v>
      </c>
      <c r="C19" s="9" t="s">
        <v>162</v>
      </c>
      <c r="D19" s="7"/>
      <c r="E19" s="7"/>
      <c r="F19" s="7"/>
      <c r="G19" s="7"/>
      <c r="H19" s="7"/>
      <c r="I19" s="7">
        <v>0.5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0.5</v>
      </c>
    </row>
    <row r="20" spans="1:35" x14ac:dyDescent="0.25">
      <c r="A20" s="27">
        <v>14</v>
      </c>
      <c r="B20" s="8" t="s">
        <v>159</v>
      </c>
      <c r="C20" s="9" t="s">
        <v>161</v>
      </c>
      <c r="D20" s="7"/>
      <c r="E20" s="7"/>
      <c r="F20" s="7"/>
      <c r="G20" s="7"/>
      <c r="H20" s="7"/>
      <c r="I20" s="7">
        <v>0.5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0.5</v>
      </c>
    </row>
    <row r="21" spans="1:35" x14ac:dyDescent="0.25">
      <c r="A21" s="27">
        <v>15</v>
      </c>
      <c r="B21" s="10" t="s">
        <v>60</v>
      </c>
      <c r="C21" s="14" t="s">
        <v>163</v>
      </c>
      <c r="D21" s="7"/>
      <c r="E21" s="7"/>
      <c r="F21" s="7"/>
      <c r="G21" s="7"/>
      <c r="H21" s="7"/>
      <c r="I21" s="7"/>
      <c r="J21" s="7"/>
      <c r="K21" s="7"/>
      <c r="L21" s="7"/>
      <c r="M21" s="7">
        <v>1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</v>
      </c>
    </row>
    <row r="22" spans="1:35" x14ac:dyDescent="0.25">
      <c r="A22" s="27">
        <v>16</v>
      </c>
      <c r="B22" s="8" t="s">
        <v>50</v>
      </c>
      <c r="C22" s="9" t="s">
        <v>94</v>
      </c>
      <c r="D22" s="7"/>
      <c r="E22" s="7"/>
      <c r="F22" s="7"/>
      <c r="G22" s="7"/>
      <c r="H22" s="7"/>
      <c r="I22" s="7"/>
      <c r="J22" s="7"/>
      <c r="K22" s="7"/>
      <c r="L22" s="7"/>
      <c r="M22" s="7">
        <v>2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25">
      <c r="A23" s="27">
        <v>17</v>
      </c>
      <c r="B23" s="9" t="s">
        <v>125</v>
      </c>
      <c r="C23" s="9" t="s">
        <v>164</v>
      </c>
      <c r="D23" s="7"/>
      <c r="E23" s="7"/>
      <c r="F23" s="7"/>
      <c r="G23" s="7"/>
      <c r="H23" s="7"/>
      <c r="I23" s="7"/>
      <c r="J23" s="7"/>
      <c r="K23" s="7"/>
      <c r="L23" s="7"/>
      <c r="M23" s="7">
        <v>2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7">
        <v>18</v>
      </c>
      <c r="B24" s="8" t="s">
        <v>166</v>
      </c>
      <c r="C24" s="9" t="s">
        <v>165</v>
      </c>
      <c r="D24" s="7"/>
      <c r="E24" s="7"/>
      <c r="F24" s="7"/>
      <c r="G24" s="7"/>
      <c r="H24" s="7"/>
      <c r="I24" s="7"/>
      <c r="J24" s="7"/>
      <c r="K24" s="7"/>
      <c r="L24" s="7"/>
      <c r="M24" s="7">
        <v>4</v>
      </c>
      <c r="N24" s="7">
        <v>4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8</v>
      </c>
    </row>
    <row r="25" spans="1:35" x14ac:dyDescent="0.25">
      <c r="A25" s="27">
        <v>19</v>
      </c>
      <c r="B25" s="9" t="s">
        <v>125</v>
      </c>
      <c r="C25" s="6" t="s">
        <v>167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v>1</v>
      </c>
      <c r="O25" s="7"/>
      <c r="P25" s="7"/>
      <c r="Q25" s="7"/>
      <c r="R25" s="7"/>
      <c r="S25" s="7"/>
      <c r="T25" s="7">
        <v>2</v>
      </c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3</v>
      </c>
    </row>
    <row r="26" spans="1:35" x14ac:dyDescent="0.25">
      <c r="A26" s="27">
        <v>20</v>
      </c>
      <c r="B26" s="9" t="s">
        <v>125</v>
      </c>
      <c r="C26" s="6" t="s">
        <v>168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>
        <v>1</v>
      </c>
      <c r="O26" s="7"/>
      <c r="P26" s="7"/>
      <c r="Q26" s="7"/>
      <c r="R26" s="7"/>
      <c r="S26" s="7"/>
      <c r="T26" s="7">
        <v>1</v>
      </c>
      <c r="U26" s="7"/>
      <c r="V26" s="7">
        <v>1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3</v>
      </c>
    </row>
    <row r="27" spans="1:35" x14ac:dyDescent="0.25">
      <c r="A27" s="27">
        <v>21</v>
      </c>
      <c r="B27" s="8" t="s">
        <v>50</v>
      </c>
      <c r="C27" s="9" t="s">
        <v>79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v>2</v>
      </c>
      <c r="O27" s="7">
        <v>2</v>
      </c>
      <c r="P27" s="7"/>
      <c r="Q27" s="7">
        <v>2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6</v>
      </c>
    </row>
    <row r="28" spans="1:35" x14ac:dyDescent="0.25">
      <c r="A28" s="27">
        <v>22</v>
      </c>
      <c r="B28" s="8" t="s">
        <v>50</v>
      </c>
      <c r="C28" s="9" t="s">
        <v>84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>
        <v>1</v>
      </c>
      <c r="O28" s="7">
        <v>1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7">
        <v>23</v>
      </c>
      <c r="B29" s="9" t="s">
        <v>125</v>
      </c>
      <c r="C29" s="6" t="s">
        <v>169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>
        <v>1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25">
      <c r="A30" s="27">
        <v>24</v>
      </c>
      <c r="B30" s="8" t="s">
        <v>31</v>
      </c>
      <c r="C30" s="6" t="s">
        <v>170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3</v>
      </c>
      <c r="P30" s="7">
        <v>1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4</v>
      </c>
    </row>
    <row r="31" spans="1:35" x14ac:dyDescent="0.25">
      <c r="A31" s="27">
        <v>25</v>
      </c>
      <c r="B31" s="9" t="s">
        <v>125</v>
      </c>
      <c r="C31" s="6" t="s">
        <v>171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>
        <v>0.5</v>
      </c>
      <c r="P31" s="7"/>
      <c r="Q31" s="7"/>
      <c r="R31" s="7"/>
      <c r="S31" s="7"/>
      <c r="T31" s="7">
        <v>2</v>
      </c>
      <c r="U31" s="7"/>
      <c r="V31" s="7"/>
      <c r="W31" s="7">
        <v>0.5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3</v>
      </c>
    </row>
    <row r="32" spans="1:35" x14ac:dyDescent="0.25">
      <c r="A32" s="27">
        <v>26</v>
      </c>
      <c r="B32" s="9" t="s">
        <v>125</v>
      </c>
      <c r="C32" s="6" t="s">
        <v>172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>
        <v>1</v>
      </c>
      <c r="P32" s="7"/>
      <c r="Q32" s="7"/>
      <c r="R32" s="7"/>
      <c r="S32" s="7"/>
      <c r="T32" s="7"/>
      <c r="U32" s="7">
        <v>1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</v>
      </c>
    </row>
    <row r="33" spans="1:35" x14ac:dyDescent="0.25">
      <c r="A33" s="27">
        <v>27</v>
      </c>
      <c r="B33" s="9" t="s">
        <v>125</v>
      </c>
      <c r="C33" s="6" t="s">
        <v>173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>
        <v>0.5</v>
      </c>
      <c r="P33" s="7">
        <v>0.5</v>
      </c>
      <c r="Q33" s="7"/>
      <c r="R33" s="7"/>
      <c r="S33" s="7"/>
      <c r="T33" s="7"/>
      <c r="U33" s="7">
        <v>3</v>
      </c>
      <c r="V33" s="7">
        <v>1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5</v>
      </c>
    </row>
    <row r="34" spans="1:35" x14ac:dyDescent="0.25">
      <c r="A34" s="27">
        <v>28</v>
      </c>
      <c r="B34" s="8" t="s">
        <v>50</v>
      </c>
      <c r="C34" s="9" t="s">
        <v>89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51"/>
      <c r="P34" s="7">
        <v>2</v>
      </c>
      <c r="Q34" s="7">
        <v>3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</v>
      </c>
    </row>
    <row r="35" spans="1:35" x14ac:dyDescent="0.25">
      <c r="A35" s="27">
        <v>29</v>
      </c>
      <c r="B35" s="8" t="s">
        <v>31</v>
      </c>
      <c r="C35" s="6" t="s">
        <v>174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v>2</v>
      </c>
      <c r="Q35" s="7">
        <v>2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>
        <v>1</v>
      </c>
      <c r="AC35" s="7">
        <v>0.5</v>
      </c>
      <c r="AD35" s="7">
        <v>1</v>
      </c>
      <c r="AE35" s="7"/>
      <c r="AF35" s="7"/>
      <c r="AG35" s="7"/>
      <c r="AH35" s="7"/>
      <c r="AI35" s="2">
        <f t="shared" si="0"/>
        <v>6.5</v>
      </c>
    </row>
    <row r="36" spans="1:35" x14ac:dyDescent="0.25">
      <c r="A36" s="27">
        <v>30</v>
      </c>
      <c r="B36" s="8" t="s">
        <v>31</v>
      </c>
      <c r="C36" s="6" t="s">
        <v>175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>
        <v>3.5</v>
      </c>
      <c r="Q36" s="7">
        <v>2</v>
      </c>
      <c r="R36" s="7"/>
      <c r="S36" s="7"/>
      <c r="T36" s="7"/>
      <c r="U36" s="7"/>
      <c r="V36" s="7"/>
      <c r="W36" s="7">
        <v>0.5</v>
      </c>
      <c r="X36" s="7"/>
      <c r="Y36" s="7"/>
      <c r="Z36" s="7"/>
      <c r="AA36" s="7"/>
      <c r="AB36" s="7"/>
      <c r="AC36" s="7"/>
      <c r="AD36" s="7">
        <v>2</v>
      </c>
      <c r="AE36" s="7"/>
      <c r="AF36" s="7"/>
      <c r="AG36" s="7"/>
      <c r="AH36" s="7"/>
      <c r="AI36" s="2">
        <f t="shared" si="0"/>
        <v>8</v>
      </c>
    </row>
    <row r="37" spans="1:35" x14ac:dyDescent="0.25">
      <c r="A37" s="27">
        <v>31</v>
      </c>
      <c r="B37" s="8" t="s">
        <v>24</v>
      </c>
      <c r="C37" s="9" t="s">
        <v>176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25">
      <c r="A38" s="27">
        <v>32</v>
      </c>
      <c r="B38" s="8" t="s">
        <v>24</v>
      </c>
      <c r="C38" s="9" t="s">
        <v>177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>
        <v>1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</v>
      </c>
    </row>
    <row r="39" spans="1:35" x14ac:dyDescent="0.25">
      <c r="A39" s="27">
        <v>33</v>
      </c>
      <c r="B39" s="9" t="s">
        <v>125</v>
      </c>
      <c r="C39" s="6" t="s">
        <v>169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>
        <v>2</v>
      </c>
      <c r="U39" s="11">
        <v>2</v>
      </c>
      <c r="V39" s="11">
        <v>1</v>
      </c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5</v>
      </c>
    </row>
    <row r="40" spans="1:35" x14ac:dyDescent="0.25">
      <c r="A40" s="27">
        <v>34</v>
      </c>
      <c r="B40" s="9" t="s">
        <v>125</v>
      </c>
      <c r="C40" s="6" t="s">
        <v>178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2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2</v>
      </c>
    </row>
    <row r="41" spans="1:35" x14ac:dyDescent="0.25">
      <c r="A41" s="27">
        <v>35</v>
      </c>
      <c r="B41" s="9" t="s">
        <v>125</v>
      </c>
      <c r="C41" s="6" t="s">
        <v>179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1</v>
      </c>
      <c r="W41" s="11">
        <v>0.5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1.5</v>
      </c>
    </row>
    <row r="42" spans="1:35" x14ac:dyDescent="0.25">
      <c r="A42" s="27">
        <v>36</v>
      </c>
      <c r="B42" s="10" t="s">
        <v>60</v>
      </c>
      <c r="C42" s="14" t="s">
        <v>180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>
        <v>0.5</v>
      </c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7">
        <v>37</v>
      </c>
      <c r="B43" s="10" t="s">
        <v>60</v>
      </c>
      <c r="C43" s="14" t="s">
        <v>148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>
        <v>0.5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0.5</v>
      </c>
    </row>
    <row r="44" spans="1:35" x14ac:dyDescent="0.25">
      <c r="A44" s="27">
        <v>38</v>
      </c>
      <c r="B44" s="10" t="s">
        <v>143</v>
      </c>
      <c r="C44" s="9" t="s">
        <v>181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>
        <v>0.5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7">
        <v>39</v>
      </c>
      <c r="B45" s="9" t="s">
        <v>130</v>
      </c>
      <c r="C45" s="6" t="s">
        <v>182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>
        <v>0.5</v>
      </c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7">
        <v>40</v>
      </c>
      <c r="B46" s="10" t="s">
        <v>133</v>
      </c>
      <c r="C46" s="6" t="s">
        <v>183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>
        <v>3</v>
      </c>
      <c r="X46" s="11"/>
      <c r="Y46" s="11"/>
      <c r="Z46" s="11"/>
      <c r="AA46" s="11">
        <v>2</v>
      </c>
      <c r="AB46" s="11"/>
      <c r="AC46" s="11"/>
      <c r="AD46" s="11"/>
      <c r="AE46" s="11"/>
      <c r="AF46" s="11"/>
      <c r="AG46" s="11"/>
      <c r="AH46" s="11"/>
      <c r="AI46" s="2">
        <f t="shared" si="0"/>
        <v>5</v>
      </c>
    </row>
    <row r="47" spans="1:35" x14ac:dyDescent="0.25">
      <c r="A47" s="27">
        <v>41</v>
      </c>
      <c r="B47" s="10" t="s">
        <v>133</v>
      </c>
      <c r="C47" s="6" t="s">
        <v>184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>
        <v>2</v>
      </c>
      <c r="X47" s="11"/>
      <c r="Y47" s="11"/>
      <c r="Z47" s="11"/>
      <c r="AA47" s="11">
        <v>2</v>
      </c>
      <c r="AB47" s="11"/>
      <c r="AC47" s="11"/>
      <c r="AD47" s="11"/>
      <c r="AE47" s="11"/>
      <c r="AF47" s="11"/>
      <c r="AG47" s="11"/>
      <c r="AH47" s="11"/>
      <c r="AI47" s="2">
        <f t="shared" si="0"/>
        <v>4</v>
      </c>
    </row>
    <row r="48" spans="1:35" x14ac:dyDescent="0.25">
      <c r="A48" s="27">
        <v>42</v>
      </c>
      <c r="B48" s="10" t="s">
        <v>133</v>
      </c>
      <c r="C48" s="6" t="s">
        <v>185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>
        <v>1.5</v>
      </c>
      <c r="X48" s="11"/>
      <c r="Y48" s="11"/>
      <c r="Z48" s="11"/>
      <c r="AA48" s="11">
        <v>2</v>
      </c>
      <c r="AB48" s="11"/>
      <c r="AC48" s="11"/>
      <c r="AD48" s="11"/>
      <c r="AE48" s="11"/>
      <c r="AF48" s="11"/>
      <c r="AG48" s="11"/>
      <c r="AH48" s="11"/>
      <c r="AI48" s="2">
        <f t="shared" si="0"/>
        <v>3.5</v>
      </c>
    </row>
    <row r="49" spans="1:35" x14ac:dyDescent="0.25">
      <c r="A49" s="27">
        <v>43</v>
      </c>
      <c r="B49" s="9" t="s">
        <v>5</v>
      </c>
      <c r="C49" s="14" t="s">
        <v>136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>
        <v>1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</v>
      </c>
    </row>
    <row r="50" spans="1:35" x14ac:dyDescent="0.25">
      <c r="A50" s="27">
        <v>44</v>
      </c>
      <c r="B50" s="10" t="s">
        <v>133</v>
      </c>
      <c r="C50" s="6" t="s">
        <v>186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>
        <v>2</v>
      </c>
      <c r="AB50" s="11"/>
      <c r="AC50" s="11">
        <v>1</v>
      </c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25">
      <c r="A51" s="27">
        <v>45</v>
      </c>
      <c r="B51" s="10" t="s">
        <v>133</v>
      </c>
      <c r="C51" s="6" t="s">
        <v>187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>
        <v>1</v>
      </c>
      <c r="AB51" s="11">
        <v>4</v>
      </c>
      <c r="AC51" s="11">
        <v>3</v>
      </c>
      <c r="AD51" s="11"/>
      <c r="AE51" s="11"/>
      <c r="AF51" s="11"/>
      <c r="AG51" s="11"/>
      <c r="AH51" s="11"/>
      <c r="AI51" s="2">
        <f t="shared" si="0"/>
        <v>8</v>
      </c>
    </row>
    <row r="52" spans="1:35" x14ac:dyDescent="0.25">
      <c r="A52" s="27">
        <v>46</v>
      </c>
      <c r="B52" s="10" t="s">
        <v>133</v>
      </c>
      <c r="C52" s="6" t="s">
        <v>188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>
        <v>4</v>
      </c>
      <c r="AC52" s="11">
        <v>3</v>
      </c>
      <c r="AD52" s="11"/>
      <c r="AE52" s="11"/>
      <c r="AF52" s="11"/>
      <c r="AG52" s="11"/>
      <c r="AH52" s="11"/>
      <c r="AI52" s="2">
        <f t="shared" si="0"/>
        <v>7</v>
      </c>
    </row>
    <row r="53" spans="1:35" x14ac:dyDescent="0.25">
      <c r="A53" s="27">
        <v>47</v>
      </c>
      <c r="B53" s="8" t="s">
        <v>189</v>
      </c>
      <c r="C53" s="9" t="s">
        <v>190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1</v>
      </c>
      <c r="AD53" s="11"/>
      <c r="AE53" s="11"/>
      <c r="AF53" s="11"/>
      <c r="AG53" s="11"/>
      <c r="AH53" s="11"/>
      <c r="AI53" s="2">
        <f t="shared" si="0"/>
        <v>1</v>
      </c>
    </row>
    <row r="54" spans="1:35" x14ac:dyDescent="0.25">
      <c r="A54" s="27">
        <v>48</v>
      </c>
      <c r="B54" s="10" t="s">
        <v>5</v>
      </c>
      <c r="C54" s="14" t="s">
        <v>191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0.5</v>
      </c>
      <c r="AD54" s="11">
        <v>3</v>
      </c>
      <c r="AE54" s="11"/>
      <c r="AF54" s="11"/>
      <c r="AG54" s="11"/>
      <c r="AH54" s="11"/>
      <c r="AI54" s="2">
        <f t="shared" si="0"/>
        <v>3.5</v>
      </c>
    </row>
    <row r="55" spans="1:35" x14ac:dyDescent="0.25">
      <c r="A55" s="27">
        <v>49</v>
      </c>
      <c r="B55" s="10" t="s">
        <v>5</v>
      </c>
      <c r="C55" s="14" t="s">
        <v>192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>
        <v>3</v>
      </c>
      <c r="AE55" s="11">
        <v>3</v>
      </c>
      <c r="AF55" s="11"/>
      <c r="AG55" s="11"/>
      <c r="AH55" s="11"/>
      <c r="AI55" s="2">
        <f t="shared" si="0"/>
        <v>6</v>
      </c>
    </row>
    <row r="56" spans="1:35" x14ac:dyDescent="0.25">
      <c r="A56" s="27">
        <v>50</v>
      </c>
      <c r="B56" s="10" t="s">
        <v>5</v>
      </c>
      <c r="C56" s="14" t="s">
        <v>193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>
        <v>3</v>
      </c>
      <c r="AF56" s="11"/>
      <c r="AG56" s="11"/>
      <c r="AH56" s="11"/>
      <c r="AI56" s="2">
        <f t="shared" si="0"/>
        <v>3</v>
      </c>
    </row>
    <row r="57" spans="1:35" x14ac:dyDescent="0.25">
      <c r="A57" s="27">
        <v>51</v>
      </c>
      <c r="B57" s="10" t="s">
        <v>5</v>
      </c>
      <c r="C57" s="14" t="s">
        <v>194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>
        <v>1</v>
      </c>
      <c r="AF57" s="11"/>
      <c r="AG57" s="11"/>
      <c r="AH57" s="11"/>
      <c r="AI57" s="2">
        <f t="shared" si="0"/>
        <v>1</v>
      </c>
    </row>
    <row r="58" spans="1:35" x14ac:dyDescent="0.25">
      <c r="A58" s="27">
        <v>52</v>
      </c>
      <c r="B58" s="10" t="s">
        <v>195</v>
      </c>
      <c r="C58" s="9" t="s">
        <v>196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>
        <v>2</v>
      </c>
      <c r="AF58" s="11"/>
      <c r="AG58" s="11"/>
      <c r="AH58" s="11"/>
      <c r="AI58" s="2">
        <f t="shared" si="0"/>
        <v>2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>SUM(D7:D106)</f>
        <v>0</v>
      </c>
      <c r="E107" s="12">
        <f>SUM(E7:E106)</f>
        <v>0</v>
      </c>
      <c r="F107" s="12">
        <f>SUM(F7:F106)</f>
        <v>9</v>
      </c>
      <c r="G107" s="3">
        <f>SUM(G7:G106)</f>
        <v>9</v>
      </c>
      <c r="H107" s="3">
        <f t="shared" ref="H107:AH107" si="1">SUM(H7:H106)</f>
        <v>9</v>
      </c>
      <c r="I107" s="3">
        <f t="shared" si="1"/>
        <v>9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9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162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AI107"/>
  <sheetViews>
    <sheetView topLeftCell="A22" zoomScale="85" zoomScaleNormal="85" workbookViewId="0">
      <pane xSplit="3" topLeftCell="AB1" activePane="topRight" state="frozen"/>
      <selection pane="topRight" activeCell="B25" sqref="B2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50</v>
      </c>
      <c r="C7" s="9" t="s">
        <v>197</v>
      </c>
      <c r="D7" s="13"/>
      <c r="E7" s="5">
        <v>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</v>
      </c>
    </row>
    <row r="8" spans="1:35" x14ac:dyDescent="0.25">
      <c r="A8" s="27">
        <v>2</v>
      </c>
      <c r="B8" s="8" t="s">
        <v>50</v>
      </c>
      <c r="C8" s="9" t="s">
        <v>198</v>
      </c>
      <c r="D8" s="7"/>
      <c r="E8" s="7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25">
      <c r="A9" s="27">
        <v>3</v>
      </c>
      <c r="B9" s="9" t="s">
        <v>50</v>
      </c>
      <c r="C9" s="9" t="s">
        <v>53</v>
      </c>
      <c r="D9" s="7"/>
      <c r="E9" s="7"/>
      <c r="F9" s="7"/>
      <c r="G9" s="7">
        <v>1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</v>
      </c>
    </row>
    <row r="10" spans="1:35" x14ac:dyDescent="0.25">
      <c r="A10" s="27">
        <v>4</v>
      </c>
      <c r="B10" s="9" t="s">
        <v>50</v>
      </c>
      <c r="C10" s="9" t="s">
        <v>202</v>
      </c>
      <c r="D10" s="7"/>
      <c r="E10" s="7"/>
      <c r="F10" s="7"/>
      <c r="G10" s="7">
        <v>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</v>
      </c>
    </row>
    <row r="11" spans="1:35" x14ac:dyDescent="0.25">
      <c r="A11" s="27">
        <v>5</v>
      </c>
      <c r="B11" s="10" t="s">
        <v>195</v>
      </c>
      <c r="C11" s="9" t="s">
        <v>196</v>
      </c>
      <c r="D11" s="7"/>
      <c r="E11" s="7">
        <v>5</v>
      </c>
      <c r="F11" s="7">
        <v>5</v>
      </c>
      <c r="G11" s="7">
        <v>3</v>
      </c>
      <c r="H11" s="7">
        <v>5</v>
      </c>
      <c r="I11" s="7"/>
      <c r="J11" s="7"/>
      <c r="K11" s="7">
        <v>2.5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>SUM(H11:AH11)</f>
        <v>7.5</v>
      </c>
    </row>
    <row r="12" spans="1:35" x14ac:dyDescent="0.25">
      <c r="A12" s="27">
        <v>6</v>
      </c>
      <c r="B12" s="10" t="s">
        <v>5</v>
      </c>
      <c r="C12" s="14" t="s">
        <v>192</v>
      </c>
      <c r="D12" s="7"/>
      <c r="E12" s="7">
        <v>1</v>
      </c>
      <c r="F12" s="7"/>
      <c r="G12" s="51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25">
      <c r="A13" s="27">
        <v>7</v>
      </c>
      <c r="B13" s="10" t="s">
        <v>5</v>
      </c>
      <c r="C13" s="14" t="s">
        <v>199</v>
      </c>
      <c r="D13" s="7"/>
      <c r="E13" s="7"/>
      <c r="F13" s="7">
        <v>2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25">
      <c r="A14" s="27">
        <v>8</v>
      </c>
      <c r="B14" s="10" t="s">
        <v>133</v>
      </c>
      <c r="C14" s="6" t="s">
        <v>200</v>
      </c>
      <c r="D14" s="7"/>
      <c r="E14" s="7"/>
      <c r="F14" s="7">
        <v>2</v>
      </c>
      <c r="G14" s="7">
        <v>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>SUM(I14:AH14)</f>
        <v>0</v>
      </c>
    </row>
    <row r="15" spans="1:35" x14ac:dyDescent="0.25">
      <c r="A15" s="27">
        <v>9</v>
      </c>
      <c r="B15" s="10" t="s">
        <v>133</v>
      </c>
      <c r="C15" s="6" t="s">
        <v>201</v>
      </c>
      <c r="D15" s="7"/>
      <c r="E15" s="7"/>
      <c r="F15" s="7"/>
      <c r="G15" s="7">
        <v>1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</v>
      </c>
    </row>
    <row r="16" spans="1:35" x14ac:dyDescent="0.25">
      <c r="A16" s="27">
        <v>10</v>
      </c>
      <c r="B16" s="10" t="s">
        <v>133</v>
      </c>
      <c r="C16" s="6" t="s">
        <v>203</v>
      </c>
      <c r="D16" s="7"/>
      <c r="E16" s="7"/>
      <c r="F16" s="7"/>
      <c r="G16" s="7"/>
      <c r="H16" s="7">
        <v>2</v>
      </c>
      <c r="I16" s="7"/>
      <c r="J16" s="7"/>
      <c r="K16" s="7">
        <v>3.5</v>
      </c>
      <c r="L16" s="7">
        <v>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>SUM(I16:AH16)</f>
        <v>5.5</v>
      </c>
    </row>
    <row r="17" spans="1:35" x14ac:dyDescent="0.25">
      <c r="A17" s="27">
        <v>11</v>
      </c>
      <c r="B17" s="9" t="s">
        <v>125</v>
      </c>
      <c r="C17" s="9" t="s">
        <v>204</v>
      </c>
      <c r="D17" s="7"/>
      <c r="E17" s="7"/>
      <c r="F17" s="7"/>
      <c r="G17" s="7"/>
      <c r="H17" s="7">
        <v>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7">
        <v>12</v>
      </c>
      <c r="B18" s="10" t="s">
        <v>205</v>
      </c>
      <c r="C18" s="6" t="s">
        <v>206</v>
      </c>
      <c r="D18" s="7"/>
      <c r="E18" s="7"/>
      <c r="F18" s="7"/>
      <c r="G18" s="7"/>
      <c r="H18" s="7"/>
      <c r="I18" s="7"/>
      <c r="J18" s="7"/>
      <c r="K18" s="7">
        <v>3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3</v>
      </c>
    </row>
    <row r="19" spans="1:35" x14ac:dyDescent="0.25">
      <c r="A19" s="27">
        <v>13</v>
      </c>
      <c r="B19" s="8" t="s">
        <v>208</v>
      </c>
      <c r="C19" s="6" t="s">
        <v>209</v>
      </c>
      <c r="D19" s="7"/>
      <c r="E19" s="7"/>
      <c r="F19" s="7"/>
      <c r="G19" s="7"/>
      <c r="H19" s="7"/>
      <c r="I19" s="7"/>
      <c r="J19" s="7"/>
      <c r="K19" s="7"/>
      <c r="L19" s="7">
        <v>2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25">
      <c r="A20" s="27">
        <v>14</v>
      </c>
      <c r="B20" s="8" t="s">
        <v>208</v>
      </c>
      <c r="C20" s="6" t="s">
        <v>211</v>
      </c>
      <c r="D20" s="7"/>
      <c r="E20" s="7"/>
      <c r="F20" s="7"/>
      <c r="G20" s="7"/>
      <c r="H20" s="7"/>
      <c r="I20" s="7"/>
      <c r="J20" s="7"/>
      <c r="K20" s="7"/>
      <c r="L20" s="7"/>
      <c r="M20" s="7">
        <v>3</v>
      </c>
      <c r="N20" s="7">
        <v>2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5</v>
      </c>
    </row>
    <row r="21" spans="1:35" x14ac:dyDescent="0.25">
      <c r="A21" s="27">
        <v>15</v>
      </c>
      <c r="B21" s="10" t="s">
        <v>207</v>
      </c>
      <c r="C21" s="6" t="s">
        <v>210</v>
      </c>
      <c r="D21" s="7"/>
      <c r="E21" s="7"/>
      <c r="F21" s="7"/>
      <c r="G21" s="7"/>
      <c r="H21" s="7"/>
      <c r="I21" s="7"/>
      <c r="J21" s="7"/>
      <c r="K21" s="7"/>
      <c r="L21" s="7">
        <v>5</v>
      </c>
      <c r="M21" s="7">
        <v>3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>
        <v>1</v>
      </c>
      <c r="AC21" s="7"/>
      <c r="AD21" s="7"/>
      <c r="AE21" s="7"/>
      <c r="AF21" s="7"/>
      <c r="AG21" s="7"/>
      <c r="AH21" s="7"/>
      <c r="AI21" s="2">
        <f t="shared" si="0"/>
        <v>9</v>
      </c>
    </row>
    <row r="22" spans="1:35" x14ac:dyDescent="0.25">
      <c r="A22" s="27">
        <v>16</v>
      </c>
      <c r="B22" s="10" t="s">
        <v>207</v>
      </c>
      <c r="C22" s="6" t="s">
        <v>212</v>
      </c>
      <c r="D22" s="7"/>
      <c r="E22" s="7"/>
      <c r="F22" s="7"/>
      <c r="G22" s="7"/>
      <c r="H22" s="7"/>
      <c r="I22" s="7"/>
      <c r="J22" s="7"/>
      <c r="K22" s="7"/>
      <c r="L22" s="7"/>
      <c r="M22" s="7">
        <v>3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3</v>
      </c>
    </row>
    <row r="23" spans="1:35" x14ac:dyDescent="0.25">
      <c r="A23" s="27">
        <v>17</v>
      </c>
      <c r="B23" s="10" t="s">
        <v>207</v>
      </c>
      <c r="C23" s="6" t="s">
        <v>215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>
        <v>2</v>
      </c>
      <c r="O23" s="7">
        <v>2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>
        <v>1</v>
      </c>
      <c r="AC23" s="7"/>
      <c r="AD23" s="7"/>
      <c r="AE23" s="7"/>
      <c r="AF23" s="7"/>
      <c r="AG23" s="7"/>
      <c r="AH23" s="7"/>
      <c r="AI23" s="2">
        <f t="shared" si="0"/>
        <v>5</v>
      </c>
    </row>
    <row r="24" spans="1:35" x14ac:dyDescent="0.25">
      <c r="A24" s="27">
        <v>18</v>
      </c>
      <c r="B24" s="8" t="s">
        <v>213</v>
      </c>
      <c r="C24" s="9" t="s">
        <v>214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>
        <v>5</v>
      </c>
      <c r="O24" s="7">
        <v>2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>
        <v>3</v>
      </c>
      <c r="AG24" s="7"/>
      <c r="AH24" s="7"/>
      <c r="AI24" s="2">
        <f t="shared" si="0"/>
        <v>10</v>
      </c>
    </row>
    <row r="25" spans="1:35" x14ac:dyDescent="0.25">
      <c r="A25" s="27">
        <v>19</v>
      </c>
      <c r="B25" s="10" t="s">
        <v>207</v>
      </c>
      <c r="C25" s="6" t="s">
        <v>216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>
        <v>2</v>
      </c>
      <c r="P25" s="7"/>
      <c r="Q25" s="7"/>
      <c r="R25" s="7">
        <v>3</v>
      </c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5</v>
      </c>
    </row>
    <row r="26" spans="1:35" x14ac:dyDescent="0.25">
      <c r="A26" s="27">
        <v>20</v>
      </c>
      <c r="B26" s="10" t="s">
        <v>207</v>
      </c>
      <c r="C26" s="6" t="s">
        <v>217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1</v>
      </c>
      <c r="P26" s="7"/>
      <c r="Q26" s="7"/>
      <c r="R26" s="7">
        <v>3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7">
        <v>21</v>
      </c>
      <c r="B27" s="10" t="s">
        <v>207</v>
      </c>
      <c r="C27" s="6" t="s">
        <v>218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>
        <v>3</v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3</v>
      </c>
    </row>
    <row r="28" spans="1:35" x14ac:dyDescent="0.25">
      <c r="A28" s="27">
        <v>22</v>
      </c>
      <c r="B28" s="10" t="s">
        <v>207</v>
      </c>
      <c r="C28" s="6" t="s">
        <v>219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>
        <v>2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>
        <v>3</v>
      </c>
      <c r="AB28" s="7">
        <v>3</v>
      </c>
      <c r="AC28" s="7">
        <v>1.5</v>
      </c>
      <c r="AD28" s="7"/>
      <c r="AE28" s="7"/>
      <c r="AF28" s="7">
        <v>0.5</v>
      </c>
      <c r="AG28" s="7">
        <v>0.5</v>
      </c>
      <c r="AH28" s="7"/>
      <c r="AI28" s="2">
        <f t="shared" si="0"/>
        <v>10.5</v>
      </c>
    </row>
    <row r="29" spans="1:35" x14ac:dyDescent="0.25">
      <c r="A29" s="27">
        <v>23</v>
      </c>
      <c r="B29" s="8" t="s">
        <v>213</v>
      </c>
      <c r="C29" s="9" t="s">
        <v>220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2</v>
      </c>
      <c r="T29" s="7">
        <v>3</v>
      </c>
      <c r="U29" s="7">
        <v>5</v>
      </c>
      <c r="V29" s="7">
        <v>3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13</v>
      </c>
    </row>
    <row r="30" spans="1:35" x14ac:dyDescent="0.25">
      <c r="A30" s="27">
        <v>24</v>
      </c>
      <c r="B30" s="8" t="s">
        <v>50</v>
      </c>
      <c r="C30" s="9" t="s">
        <v>221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>
        <v>2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2</v>
      </c>
    </row>
    <row r="31" spans="1:35" x14ac:dyDescent="0.25">
      <c r="A31" s="27">
        <v>25</v>
      </c>
      <c r="B31" s="8" t="s">
        <v>120</v>
      </c>
      <c r="C31" s="9" t="s">
        <v>222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2</v>
      </c>
      <c r="T31" s="7">
        <v>2</v>
      </c>
      <c r="U31" s="7">
        <v>4</v>
      </c>
      <c r="V31" s="7">
        <v>1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9</v>
      </c>
    </row>
    <row r="32" spans="1:35" x14ac:dyDescent="0.25">
      <c r="A32" s="27">
        <v>26</v>
      </c>
      <c r="B32" s="8" t="s">
        <v>159</v>
      </c>
      <c r="C32" s="9" t="s">
        <v>146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3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3</v>
      </c>
    </row>
    <row r="33" spans="1:35" x14ac:dyDescent="0.25">
      <c r="A33" s="27">
        <v>27</v>
      </c>
      <c r="B33" s="8" t="s">
        <v>223</v>
      </c>
      <c r="C33" s="9" t="s">
        <v>224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>
        <v>1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1</v>
      </c>
    </row>
    <row r="34" spans="1:35" x14ac:dyDescent="0.25">
      <c r="A34" s="27">
        <v>28</v>
      </c>
      <c r="B34" s="8" t="s">
        <v>159</v>
      </c>
      <c r="C34" s="9" t="s">
        <v>225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1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</v>
      </c>
    </row>
    <row r="35" spans="1:35" x14ac:dyDescent="0.25">
      <c r="A35" s="27">
        <v>29</v>
      </c>
      <c r="B35" s="8" t="s">
        <v>143</v>
      </c>
      <c r="C35" s="9" t="s">
        <v>226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0.7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0.7</v>
      </c>
    </row>
    <row r="36" spans="1:35" x14ac:dyDescent="0.25">
      <c r="A36" s="27">
        <v>30</v>
      </c>
      <c r="B36" s="14" t="s">
        <v>5</v>
      </c>
      <c r="C36" s="14" t="s">
        <v>103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0.3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0.3</v>
      </c>
    </row>
    <row r="37" spans="1:35" x14ac:dyDescent="0.25">
      <c r="A37" s="27">
        <v>31</v>
      </c>
      <c r="B37" s="10" t="s">
        <v>227</v>
      </c>
      <c r="C37" s="6" t="s">
        <v>228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25">
      <c r="A38" s="27">
        <v>32</v>
      </c>
      <c r="B38" s="8" t="s">
        <v>213</v>
      </c>
      <c r="C38" s="9" t="s">
        <v>229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>
        <v>5</v>
      </c>
      <c r="W38" s="11"/>
      <c r="X38" s="11"/>
      <c r="Y38" s="11">
        <v>2.5</v>
      </c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7.5</v>
      </c>
    </row>
    <row r="39" spans="1:35" x14ac:dyDescent="0.25">
      <c r="A39" s="27">
        <v>33</v>
      </c>
      <c r="B39" s="8" t="s">
        <v>213</v>
      </c>
      <c r="C39" s="9" t="s">
        <v>230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>
        <v>1</v>
      </c>
      <c r="Z39" s="11">
        <v>2</v>
      </c>
      <c r="AA39" s="11">
        <v>2</v>
      </c>
      <c r="AB39" s="11"/>
      <c r="AC39" s="11">
        <v>4</v>
      </c>
      <c r="AD39" s="11"/>
      <c r="AE39" s="11"/>
      <c r="AF39" s="11"/>
      <c r="AG39" s="11"/>
      <c r="AH39" s="11">
        <v>4.5</v>
      </c>
      <c r="AI39" s="2">
        <f t="shared" si="0"/>
        <v>13.5</v>
      </c>
    </row>
    <row r="40" spans="1:35" x14ac:dyDescent="0.25">
      <c r="A40" s="27">
        <v>34</v>
      </c>
      <c r="B40" s="8" t="s">
        <v>213</v>
      </c>
      <c r="C40" s="9" t="s">
        <v>231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>
        <v>4.5</v>
      </c>
      <c r="Z40" s="11">
        <v>2</v>
      </c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6.5</v>
      </c>
    </row>
    <row r="41" spans="1:35" x14ac:dyDescent="0.25">
      <c r="A41" s="27">
        <v>35</v>
      </c>
      <c r="B41" s="10" t="s">
        <v>205</v>
      </c>
      <c r="C41" s="6" t="s">
        <v>232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>
        <v>0.5</v>
      </c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0.5</v>
      </c>
    </row>
    <row r="42" spans="1:35" x14ac:dyDescent="0.25">
      <c r="A42" s="27">
        <v>36</v>
      </c>
      <c r="B42" s="14" t="s">
        <v>133</v>
      </c>
      <c r="C42" s="6" t="s">
        <v>184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>
        <v>0.5</v>
      </c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7">
        <v>37</v>
      </c>
      <c r="B43" s="8" t="s">
        <v>213</v>
      </c>
      <c r="C43" s="9" t="s">
        <v>233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>
        <v>4.5</v>
      </c>
      <c r="AA43" s="11">
        <v>4</v>
      </c>
      <c r="AB43" s="11"/>
      <c r="AC43" s="11"/>
      <c r="AD43" s="11"/>
      <c r="AE43" s="11"/>
      <c r="AF43" s="11"/>
      <c r="AG43" s="11"/>
      <c r="AH43" s="11"/>
      <c r="AI43" s="2">
        <f t="shared" si="0"/>
        <v>8.5</v>
      </c>
    </row>
    <row r="44" spans="1:35" x14ac:dyDescent="0.25">
      <c r="A44" s="27">
        <v>38</v>
      </c>
      <c r="B44" s="10" t="s">
        <v>5</v>
      </c>
      <c r="C44" s="14" t="s">
        <v>191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>
        <v>0.5</v>
      </c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7">
        <v>39</v>
      </c>
      <c r="B45" s="10" t="s">
        <v>39</v>
      </c>
      <c r="C45" s="14" t="s">
        <v>235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>
        <v>0.5</v>
      </c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7">
        <v>40</v>
      </c>
      <c r="B46" s="10" t="s">
        <v>39</v>
      </c>
      <c r="C46" s="14" t="s">
        <v>234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52">
        <v>0.5</v>
      </c>
      <c r="AC46" s="11"/>
      <c r="AD46" s="11"/>
      <c r="AE46" s="11"/>
      <c r="AF46" s="11"/>
      <c r="AG46" s="11"/>
      <c r="AH46" s="11"/>
      <c r="AI46" s="2">
        <f t="shared" si="0"/>
        <v>0.5</v>
      </c>
    </row>
    <row r="47" spans="1:35" x14ac:dyDescent="0.25">
      <c r="A47" s="27">
        <v>41</v>
      </c>
      <c r="B47" s="10" t="s">
        <v>60</v>
      </c>
      <c r="C47" s="14" t="s">
        <v>180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>
        <v>0.5</v>
      </c>
      <c r="AC47" s="11"/>
      <c r="AD47" s="11"/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7">
        <v>42</v>
      </c>
      <c r="B48" s="10" t="s">
        <v>60</v>
      </c>
      <c r="C48" s="14" t="s">
        <v>148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>
        <v>0.5</v>
      </c>
      <c r="AC48" s="11"/>
      <c r="AD48" s="11"/>
      <c r="AE48" s="11"/>
      <c r="AF48" s="11"/>
      <c r="AG48" s="11"/>
      <c r="AH48" s="11"/>
      <c r="AI48" s="2">
        <f t="shared" si="0"/>
        <v>0.5</v>
      </c>
    </row>
    <row r="49" spans="1:35" x14ac:dyDescent="0.25">
      <c r="A49" s="27">
        <v>43</v>
      </c>
      <c r="B49" s="10" t="s">
        <v>60</v>
      </c>
      <c r="C49" s="14" t="s">
        <v>154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>
        <v>0.5</v>
      </c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25">
      <c r="A50" s="27">
        <v>44</v>
      </c>
      <c r="B50" s="10" t="s">
        <v>60</v>
      </c>
      <c r="C50" s="14" t="s">
        <v>156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>
        <v>0.5</v>
      </c>
      <c r="AC50" s="11"/>
      <c r="AD50" s="11"/>
      <c r="AE50" s="11"/>
      <c r="AF50" s="11"/>
      <c r="AG50" s="11"/>
      <c r="AH50" s="11"/>
      <c r="AI50" s="2">
        <f t="shared" si="0"/>
        <v>0.5</v>
      </c>
    </row>
    <row r="51" spans="1:35" x14ac:dyDescent="0.25">
      <c r="A51" s="27">
        <v>45</v>
      </c>
      <c r="B51" s="10" t="s">
        <v>60</v>
      </c>
      <c r="C51" s="14" t="s">
        <v>236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>
        <v>0.5</v>
      </c>
      <c r="AC51" s="11"/>
      <c r="AD51" s="11"/>
      <c r="AE51" s="11"/>
      <c r="AF51" s="11"/>
      <c r="AG51" s="11"/>
      <c r="AH51" s="11"/>
      <c r="AI51" s="2">
        <f t="shared" si="0"/>
        <v>0.5</v>
      </c>
    </row>
    <row r="52" spans="1:35" x14ac:dyDescent="0.25">
      <c r="A52" s="27">
        <v>46</v>
      </c>
      <c r="B52" s="10" t="s">
        <v>60</v>
      </c>
      <c r="C52" s="14" t="s">
        <v>163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>
        <v>0.5</v>
      </c>
      <c r="AC52" s="11"/>
      <c r="AD52" s="11"/>
      <c r="AE52" s="11"/>
      <c r="AF52" s="11"/>
      <c r="AG52" s="11"/>
      <c r="AH52" s="11"/>
      <c r="AI52" s="2">
        <f t="shared" si="0"/>
        <v>0.5</v>
      </c>
    </row>
    <row r="53" spans="1:35" x14ac:dyDescent="0.25">
      <c r="A53" s="27">
        <v>47</v>
      </c>
      <c r="B53" s="10" t="s">
        <v>207</v>
      </c>
      <c r="C53" s="6" t="s">
        <v>237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2</v>
      </c>
      <c r="AD53" s="11"/>
      <c r="AE53" s="11"/>
      <c r="AF53" s="11">
        <v>0.5</v>
      </c>
      <c r="AG53" s="11">
        <v>0.5</v>
      </c>
      <c r="AH53" s="11"/>
      <c r="AI53" s="2">
        <f t="shared" si="0"/>
        <v>3</v>
      </c>
    </row>
    <row r="54" spans="1:35" x14ac:dyDescent="0.25">
      <c r="A54" s="27">
        <v>48</v>
      </c>
      <c r="B54" s="10" t="s">
        <v>60</v>
      </c>
      <c r="C54" s="14" t="s">
        <v>238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0.5</v>
      </c>
      <c r="AD54" s="11"/>
      <c r="AE54" s="11"/>
      <c r="AF54" s="11"/>
      <c r="AG54" s="11"/>
      <c r="AH54" s="11"/>
      <c r="AI54" s="2">
        <f t="shared" si="0"/>
        <v>0.5</v>
      </c>
    </row>
    <row r="55" spans="1:35" x14ac:dyDescent="0.25">
      <c r="A55" s="27">
        <v>49</v>
      </c>
      <c r="B55" s="10" t="s">
        <v>60</v>
      </c>
      <c r="C55" s="14" t="s">
        <v>239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>
        <v>0.5</v>
      </c>
      <c r="AD55" s="11"/>
      <c r="AE55" s="11"/>
      <c r="AF55" s="11"/>
      <c r="AG55" s="11"/>
      <c r="AH55" s="11"/>
      <c r="AI55" s="2">
        <f t="shared" si="0"/>
        <v>0.5</v>
      </c>
    </row>
    <row r="56" spans="1:35" x14ac:dyDescent="0.25">
      <c r="A56" s="27">
        <v>50</v>
      </c>
      <c r="B56" s="10" t="s">
        <v>33</v>
      </c>
      <c r="C56" s="14" t="s">
        <v>240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>
        <v>0.5</v>
      </c>
      <c r="AD56" s="11"/>
      <c r="AE56" s="11"/>
      <c r="AF56" s="11"/>
      <c r="AG56" s="11"/>
      <c r="AH56" s="11"/>
      <c r="AI56" s="2">
        <f t="shared" si="0"/>
        <v>0.5</v>
      </c>
    </row>
    <row r="57" spans="1:35" x14ac:dyDescent="0.25">
      <c r="A57" s="27">
        <v>51</v>
      </c>
      <c r="B57" s="8" t="s">
        <v>31</v>
      </c>
      <c r="C57" s="9" t="s">
        <v>241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>
        <v>3</v>
      </c>
      <c r="AG57" s="11"/>
      <c r="AH57" s="11"/>
      <c r="AI57" s="2">
        <f t="shared" si="0"/>
        <v>3</v>
      </c>
    </row>
    <row r="58" spans="1:35" x14ac:dyDescent="0.25">
      <c r="A58" s="27">
        <v>52</v>
      </c>
      <c r="B58" s="8" t="s">
        <v>31</v>
      </c>
      <c r="C58" s="9" t="s">
        <v>242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>
        <v>2</v>
      </c>
      <c r="AG58" s="11">
        <v>2</v>
      </c>
      <c r="AH58" s="11"/>
      <c r="AI58" s="2">
        <f t="shared" si="0"/>
        <v>4</v>
      </c>
    </row>
    <row r="59" spans="1:35" x14ac:dyDescent="0.25">
      <c r="A59" s="27">
        <v>53</v>
      </c>
      <c r="B59" s="8" t="s">
        <v>31</v>
      </c>
      <c r="C59" s="9" t="s">
        <v>243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>
        <v>1</v>
      </c>
      <c r="AH59" s="11"/>
      <c r="AI59" s="2">
        <f t="shared" si="0"/>
        <v>1</v>
      </c>
    </row>
    <row r="60" spans="1:35" x14ac:dyDescent="0.25">
      <c r="A60" s="27">
        <v>54</v>
      </c>
      <c r="B60" s="10" t="s">
        <v>207</v>
      </c>
      <c r="C60" s="6" t="s">
        <v>244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>
        <v>4</v>
      </c>
      <c r="AH60" s="11"/>
      <c r="AI60" s="2">
        <f t="shared" si="0"/>
        <v>4</v>
      </c>
    </row>
    <row r="61" spans="1:35" x14ac:dyDescent="0.25">
      <c r="A61" s="27">
        <v>55</v>
      </c>
      <c r="B61" s="10" t="s">
        <v>223</v>
      </c>
      <c r="C61" s="10" t="s">
        <v>245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>
        <v>1</v>
      </c>
      <c r="AH61" s="11"/>
      <c r="AI61" s="2">
        <f t="shared" si="0"/>
        <v>1</v>
      </c>
    </row>
    <row r="62" spans="1:35" x14ac:dyDescent="0.25">
      <c r="A62" s="27">
        <v>56</v>
      </c>
      <c r="B62" s="10" t="s">
        <v>207</v>
      </c>
      <c r="C62" s="6" t="s">
        <v>246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>
        <v>4</v>
      </c>
      <c r="AI62" s="2">
        <f t="shared" si="0"/>
        <v>4</v>
      </c>
    </row>
    <row r="63" spans="1:35" x14ac:dyDescent="0.25">
      <c r="A63" s="27">
        <v>57</v>
      </c>
      <c r="B63" s="8" t="s">
        <v>213</v>
      </c>
      <c r="C63" s="9" t="s">
        <v>247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>
        <v>0.5</v>
      </c>
      <c r="AI63" s="2">
        <f t="shared" si="0"/>
        <v>0.5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0</v>
      </c>
      <c r="Q107" s="3">
        <f t="shared" si="1"/>
        <v>0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198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AI107"/>
  <sheetViews>
    <sheetView zoomScale="85" zoomScaleNormal="85" workbookViewId="0">
      <pane xSplit="3" topLeftCell="AB1" activePane="topRight" state="frozen"/>
      <selection pane="topRight" activeCell="B13" sqref="B13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213</v>
      </c>
      <c r="C7" s="9" t="s">
        <v>247</v>
      </c>
      <c r="D7" s="13">
        <v>5</v>
      </c>
      <c r="E7" s="5">
        <v>2</v>
      </c>
      <c r="F7" s="5"/>
      <c r="G7" s="5"/>
      <c r="H7" s="5">
        <v>2</v>
      </c>
      <c r="I7" s="5"/>
      <c r="J7" s="5"/>
      <c r="K7" s="5">
        <v>1</v>
      </c>
      <c r="L7" s="5">
        <v>2</v>
      </c>
      <c r="M7" s="5"/>
      <c r="N7" s="5"/>
      <c r="O7" s="5"/>
      <c r="P7" s="5"/>
      <c r="Q7" s="5">
        <v>1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13</v>
      </c>
    </row>
    <row r="8" spans="1:35" x14ac:dyDescent="0.25">
      <c r="A8" s="27">
        <v>2</v>
      </c>
      <c r="B8" s="8" t="s">
        <v>213</v>
      </c>
      <c r="C8" s="9" t="s">
        <v>230</v>
      </c>
      <c r="D8" s="7"/>
      <c r="E8" s="7">
        <v>4.5</v>
      </c>
      <c r="F8" s="7"/>
      <c r="G8" s="7"/>
      <c r="H8" s="7">
        <v>5</v>
      </c>
      <c r="I8" s="7">
        <v>3</v>
      </c>
      <c r="J8" s="7"/>
      <c r="K8" s="7"/>
      <c r="L8" s="7">
        <v>1</v>
      </c>
      <c r="M8" s="7"/>
      <c r="N8" s="7"/>
      <c r="O8" s="7"/>
      <c r="P8" s="7"/>
      <c r="Q8" s="7">
        <v>1.5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15</v>
      </c>
    </row>
    <row r="9" spans="1:35" x14ac:dyDescent="0.25">
      <c r="A9" s="27">
        <v>3</v>
      </c>
      <c r="B9" s="8" t="s">
        <v>213</v>
      </c>
      <c r="C9" s="9" t="s">
        <v>231</v>
      </c>
      <c r="D9" s="7"/>
      <c r="E9" s="7"/>
      <c r="F9" s="7"/>
      <c r="G9" s="7"/>
      <c r="H9" s="7">
        <v>2</v>
      </c>
      <c r="I9" s="7"/>
      <c r="J9" s="7"/>
      <c r="K9" s="7"/>
      <c r="L9" s="7"/>
      <c r="M9" s="7"/>
      <c r="N9" s="7"/>
      <c r="O9" s="7">
        <v>1</v>
      </c>
      <c r="P9" s="7"/>
      <c r="Q9" s="7">
        <v>0.5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3.5</v>
      </c>
    </row>
    <row r="10" spans="1:35" x14ac:dyDescent="0.25">
      <c r="A10" s="27">
        <v>4</v>
      </c>
      <c r="B10" s="10" t="s">
        <v>207</v>
      </c>
      <c r="C10" s="6" t="s">
        <v>246</v>
      </c>
      <c r="D10" s="7">
        <v>1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1</v>
      </c>
    </row>
    <row r="11" spans="1:35" x14ac:dyDescent="0.25">
      <c r="A11" s="27">
        <v>5</v>
      </c>
      <c r="B11" s="10" t="s">
        <v>207</v>
      </c>
      <c r="C11" s="6" t="s">
        <v>248</v>
      </c>
      <c r="D11" s="7">
        <v>1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</v>
      </c>
    </row>
    <row r="12" spans="1:35" x14ac:dyDescent="0.25">
      <c r="A12" s="27">
        <v>6</v>
      </c>
      <c r="B12" s="8" t="s">
        <v>249</v>
      </c>
      <c r="C12" s="9" t="s">
        <v>250</v>
      </c>
      <c r="D12" s="7">
        <v>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2</v>
      </c>
    </row>
    <row r="13" spans="1:35" x14ac:dyDescent="0.25">
      <c r="A13" s="27">
        <v>7</v>
      </c>
      <c r="B13" s="8" t="s">
        <v>249</v>
      </c>
      <c r="C13" s="9" t="s">
        <v>251</v>
      </c>
      <c r="D13" s="7"/>
      <c r="E13" s="7">
        <v>0.5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25">
      <c r="A14" s="27">
        <v>8</v>
      </c>
      <c r="B14" s="10" t="s">
        <v>207</v>
      </c>
      <c r="C14" s="6" t="s">
        <v>252</v>
      </c>
      <c r="D14" s="7"/>
      <c r="E14" s="7">
        <v>1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</v>
      </c>
    </row>
    <row r="15" spans="1:35" x14ac:dyDescent="0.25">
      <c r="A15" s="27">
        <v>9</v>
      </c>
      <c r="B15" s="8" t="s">
        <v>253</v>
      </c>
      <c r="C15" s="9" t="s">
        <v>254</v>
      </c>
      <c r="D15" s="7"/>
      <c r="E15" s="7">
        <v>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</v>
      </c>
    </row>
    <row r="16" spans="1:35" x14ac:dyDescent="0.25">
      <c r="A16" s="27">
        <v>10</v>
      </c>
      <c r="B16" s="8" t="s">
        <v>213</v>
      </c>
      <c r="C16" s="9" t="s">
        <v>214</v>
      </c>
      <c r="D16" s="7"/>
      <c r="E16" s="7"/>
      <c r="F16" s="7"/>
      <c r="G16" s="7"/>
      <c r="H16" s="7"/>
      <c r="I16" s="7">
        <v>2</v>
      </c>
      <c r="J16" s="7"/>
      <c r="K16" s="7"/>
      <c r="L16" s="7"/>
      <c r="M16" s="7"/>
      <c r="N16" s="7"/>
      <c r="O16" s="7"/>
      <c r="P16" s="7"/>
      <c r="Q16" s="7">
        <v>1.5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3.5</v>
      </c>
    </row>
    <row r="17" spans="1:35" x14ac:dyDescent="0.25">
      <c r="A17" s="27">
        <v>11</v>
      </c>
      <c r="B17" s="10" t="s">
        <v>207</v>
      </c>
      <c r="C17" s="6" t="s">
        <v>255</v>
      </c>
      <c r="D17" s="7"/>
      <c r="E17" s="7"/>
      <c r="F17" s="7"/>
      <c r="G17" s="7"/>
      <c r="H17" s="7"/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>
        <v>2.5</v>
      </c>
      <c r="AD17" s="7"/>
      <c r="AE17" s="7"/>
      <c r="AF17" s="7"/>
      <c r="AG17" s="7"/>
      <c r="AH17" s="7"/>
      <c r="AI17" s="2">
        <f t="shared" si="0"/>
        <v>3.5</v>
      </c>
    </row>
    <row r="18" spans="1:35" x14ac:dyDescent="0.25">
      <c r="A18" s="27">
        <v>12</v>
      </c>
      <c r="B18" s="8" t="s">
        <v>249</v>
      </c>
      <c r="C18" s="9" t="s">
        <v>256</v>
      </c>
      <c r="D18" s="7"/>
      <c r="E18" s="7"/>
      <c r="F18" s="7"/>
      <c r="G18" s="7"/>
      <c r="H18" s="7"/>
      <c r="I18" s="7">
        <v>3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3</v>
      </c>
    </row>
    <row r="19" spans="1:35" x14ac:dyDescent="0.25">
      <c r="A19" s="27">
        <v>13</v>
      </c>
      <c r="B19" s="8" t="s">
        <v>213</v>
      </c>
      <c r="C19" s="9" t="s">
        <v>264</v>
      </c>
      <c r="D19" s="7"/>
      <c r="E19" s="7"/>
      <c r="F19" s="7"/>
      <c r="G19" s="7"/>
      <c r="H19" s="7"/>
      <c r="I19" s="7"/>
      <c r="J19" s="7">
        <v>9</v>
      </c>
      <c r="K19" s="7">
        <v>4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13</v>
      </c>
    </row>
    <row r="20" spans="1:35" x14ac:dyDescent="0.25">
      <c r="A20" s="27">
        <v>14</v>
      </c>
      <c r="B20" s="8" t="s">
        <v>249</v>
      </c>
      <c r="C20" s="9" t="s">
        <v>257</v>
      </c>
      <c r="D20" s="7"/>
      <c r="E20" s="7"/>
      <c r="F20" s="7"/>
      <c r="G20" s="7"/>
      <c r="H20" s="7"/>
      <c r="I20" s="7"/>
      <c r="J20" s="7"/>
      <c r="K20" s="7">
        <v>1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7">
        <v>15</v>
      </c>
      <c r="B21" s="10" t="s">
        <v>207</v>
      </c>
      <c r="C21" s="6" t="s">
        <v>258</v>
      </c>
      <c r="D21" s="7"/>
      <c r="E21" s="7"/>
      <c r="F21" s="7"/>
      <c r="G21" s="7"/>
      <c r="H21" s="7"/>
      <c r="I21" s="7"/>
      <c r="J21" s="7"/>
      <c r="K21" s="7">
        <v>1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>
        <v>1</v>
      </c>
      <c r="AD21" s="7"/>
      <c r="AE21" s="7"/>
      <c r="AF21" s="7"/>
      <c r="AG21" s="7"/>
      <c r="AH21" s="7"/>
      <c r="AI21" s="2">
        <f t="shared" si="0"/>
        <v>2</v>
      </c>
    </row>
    <row r="22" spans="1:35" x14ac:dyDescent="0.25">
      <c r="A22" s="27">
        <v>16</v>
      </c>
      <c r="B22" s="8" t="s">
        <v>259</v>
      </c>
      <c r="C22" s="8" t="s">
        <v>260</v>
      </c>
      <c r="D22" s="7"/>
      <c r="E22" s="7"/>
      <c r="F22" s="7"/>
      <c r="G22" s="7"/>
      <c r="H22" s="7"/>
      <c r="I22" s="7"/>
      <c r="J22" s="7"/>
      <c r="K22" s="7">
        <v>2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25">
      <c r="A23" s="27">
        <v>17</v>
      </c>
      <c r="B23" s="10" t="s">
        <v>207</v>
      </c>
      <c r="C23" s="6" t="s">
        <v>261</v>
      </c>
      <c r="D23" s="7"/>
      <c r="E23" s="7"/>
      <c r="F23" s="7"/>
      <c r="G23" s="7"/>
      <c r="H23" s="7"/>
      <c r="I23" s="7"/>
      <c r="J23" s="7"/>
      <c r="K23" s="7"/>
      <c r="L23" s="7">
        <v>2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7">
        <v>18</v>
      </c>
      <c r="B24" s="10" t="s">
        <v>207</v>
      </c>
      <c r="C24" s="9" t="s">
        <v>262</v>
      </c>
      <c r="D24" s="7"/>
      <c r="E24" s="7"/>
      <c r="F24" s="7"/>
      <c r="G24" s="7"/>
      <c r="H24" s="7"/>
      <c r="I24" s="7"/>
      <c r="J24" s="7"/>
      <c r="K24" s="7"/>
      <c r="L24" s="7">
        <v>1</v>
      </c>
      <c r="M24" s="7"/>
      <c r="N24" s="7"/>
      <c r="O24" s="7">
        <v>1.5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2.5</v>
      </c>
    </row>
    <row r="25" spans="1:35" x14ac:dyDescent="0.25">
      <c r="A25" s="27">
        <v>19</v>
      </c>
      <c r="B25" s="8" t="s">
        <v>213</v>
      </c>
      <c r="C25" s="6" t="s">
        <v>263</v>
      </c>
      <c r="D25" s="7"/>
      <c r="E25" s="7"/>
      <c r="F25" s="7"/>
      <c r="G25" s="7"/>
      <c r="H25" s="7"/>
      <c r="I25" s="7"/>
      <c r="J25" s="7"/>
      <c r="K25" s="7"/>
      <c r="L25" s="7">
        <v>3</v>
      </c>
      <c r="M25" s="7"/>
      <c r="N25" s="7"/>
      <c r="O25" s="7"/>
      <c r="P25" s="7"/>
      <c r="Q25" s="7">
        <v>1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4</v>
      </c>
    </row>
    <row r="26" spans="1:35" x14ac:dyDescent="0.25">
      <c r="A26" s="27">
        <v>20</v>
      </c>
      <c r="B26" s="10" t="s">
        <v>207</v>
      </c>
      <c r="C26" s="6" t="s">
        <v>265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5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5</v>
      </c>
    </row>
    <row r="27" spans="1:35" x14ac:dyDescent="0.25">
      <c r="A27" s="27">
        <v>21</v>
      </c>
      <c r="B27" s="8" t="s">
        <v>249</v>
      </c>
      <c r="C27" s="9" t="s">
        <v>266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v>1.5</v>
      </c>
      <c r="P27" s="7">
        <v>0.5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7">
        <v>22</v>
      </c>
      <c r="B28" s="8" t="s">
        <v>31</v>
      </c>
      <c r="C28" s="9" t="s">
        <v>267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>
        <v>1.5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1.5</v>
      </c>
    </row>
    <row r="29" spans="1:35" x14ac:dyDescent="0.25">
      <c r="A29" s="27">
        <v>23</v>
      </c>
      <c r="B29" s="8" t="s">
        <v>213</v>
      </c>
      <c r="C29" s="6" t="s">
        <v>233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>
        <v>1</v>
      </c>
      <c r="Q29" s="7">
        <v>0.5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1.5</v>
      </c>
    </row>
    <row r="30" spans="1:35" x14ac:dyDescent="0.25">
      <c r="A30" s="27">
        <v>24</v>
      </c>
      <c r="B30" s="10" t="s">
        <v>207</v>
      </c>
      <c r="C30" s="6" t="s">
        <v>268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>
        <v>1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7">
        <v>25</v>
      </c>
      <c r="B31" s="10" t="s">
        <v>207</v>
      </c>
      <c r="C31" s="9" t="s">
        <v>219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>
        <v>1.5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1.5</v>
      </c>
    </row>
    <row r="32" spans="1:35" x14ac:dyDescent="0.25">
      <c r="A32" s="27">
        <v>26</v>
      </c>
      <c r="B32" s="10" t="s">
        <v>207</v>
      </c>
      <c r="C32" s="9" t="s">
        <v>244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>
        <v>0.5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0.5</v>
      </c>
    </row>
    <row r="33" spans="1:35" x14ac:dyDescent="0.25">
      <c r="A33" s="27">
        <v>27</v>
      </c>
      <c r="B33" s="10" t="s">
        <v>207</v>
      </c>
      <c r="C33" s="9" t="s">
        <v>237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>
        <v>0.5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0.5</v>
      </c>
    </row>
    <row r="34" spans="1:35" x14ac:dyDescent="0.25">
      <c r="A34" s="27">
        <v>28</v>
      </c>
      <c r="B34" s="10" t="s">
        <v>207</v>
      </c>
      <c r="C34" s="9" t="s">
        <v>246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v>1.5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1.5</v>
      </c>
    </row>
    <row r="35" spans="1:35" x14ac:dyDescent="0.25">
      <c r="A35" s="27">
        <v>29</v>
      </c>
      <c r="B35" s="10" t="s">
        <v>207</v>
      </c>
      <c r="C35" s="9" t="s">
        <v>252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v>0.5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0.5</v>
      </c>
    </row>
    <row r="36" spans="1:35" x14ac:dyDescent="0.25">
      <c r="A36" s="27">
        <v>30</v>
      </c>
      <c r="B36" s="10" t="s">
        <v>207</v>
      </c>
      <c r="C36" s="9" t="s">
        <v>248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>
        <v>0.5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0.5</v>
      </c>
    </row>
    <row r="37" spans="1:35" x14ac:dyDescent="0.25">
      <c r="A37" s="27">
        <v>31</v>
      </c>
      <c r="B37" s="8" t="s">
        <v>208</v>
      </c>
      <c r="C37" s="9" t="s">
        <v>269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>
        <v>1</v>
      </c>
      <c r="R37" s="7">
        <v>3.5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4.5</v>
      </c>
    </row>
    <row r="38" spans="1:35" x14ac:dyDescent="0.25">
      <c r="A38" s="27">
        <v>32</v>
      </c>
      <c r="B38" s="8" t="s">
        <v>208</v>
      </c>
      <c r="C38" s="9" t="s">
        <v>270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>
        <v>2</v>
      </c>
      <c r="R38" s="11">
        <v>1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3</v>
      </c>
    </row>
    <row r="39" spans="1:35" x14ac:dyDescent="0.25">
      <c r="A39" s="27">
        <v>33</v>
      </c>
      <c r="B39" s="10" t="s">
        <v>141</v>
      </c>
      <c r="C39" s="10" t="s">
        <v>271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>
        <v>1</v>
      </c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7">
        <v>34</v>
      </c>
      <c r="B40" s="10" t="s">
        <v>141</v>
      </c>
      <c r="C40" s="10" t="s">
        <v>272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>
        <v>0.5</v>
      </c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0.5</v>
      </c>
    </row>
    <row r="41" spans="1:35" x14ac:dyDescent="0.25">
      <c r="A41" s="47">
        <v>35</v>
      </c>
      <c r="B41" s="10" t="s">
        <v>275</v>
      </c>
      <c r="C41" s="10" t="s">
        <v>273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>
        <v>0.8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0.8</v>
      </c>
    </row>
    <row r="42" spans="1:35" x14ac:dyDescent="0.25">
      <c r="A42" s="47">
        <v>36</v>
      </c>
      <c r="B42" s="10" t="s">
        <v>275</v>
      </c>
      <c r="C42" s="10" t="s">
        <v>274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>
        <v>0.2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0.2</v>
      </c>
    </row>
    <row r="43" spans="1:35" x14ac:dyDescent="0.25">
      <c r="A43" s="27">
        <v>37</v>
      </c>
      <c r="B43" s="53" t="s">
        <v>213</v>
      </c>
      <c r="C43" s="9" t="s">
        <v>220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>
        <v>2</v>
      </c>
      <c r="S43" s="11">
        <v>8</v>
      </c>
      <c r="T43" s="11"/>
      <c r="U43" s="11"/>
      <c r="V43" s="11">
        <v>1</v>
      </c>
      <c r="W43" s="11">
        <v>2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13</v>
      </c>
    </row>
    <row r="44" spans="1:35" x14ac:dyDescent="0.25">
      <c r="A44" s="27">
        <v>38</v>
      </c>
      <c r="B44" s="53" t="s">
        <v>213</v>
      </c>
      <c r="C44" s="10" t="s">
        <v>229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>
        <v>1</v>
      </c>
      <c r="T44" s="11"/>
      <c r="U44" s="11"/>
      <c r="V44" s="11">
        <v>1</v>
      </c>
      <c r="W44" s="11">
        <v>1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3</v>
      </c>
    </row>
    <row r="45" spans="1:35" x14ac:dyDescent="0.25">
      <c r="A45" s="27">
        <v>39</v>
      </c>
      <c r="B45" s="53" t="s">
        <v>213</v>
      </c>
      <c r="C45" s="14" t="s">
        <v>276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>
        <v>7</v>
      </c>
      <c r="W45" s="11">
        <v>5</v>
      </c>
      <c r="X45" s="11">
        <v>5</v>
      </c>
      <c r="Y45" s="11">
        <v>4</v>
      </c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21</v>
      </c>
    </row>
    <row r="46" spans="1:35" x14ac:dyDescent="0.25">
      <c r="A46" s="27">
        <v>40</v>
      </c>
      <c r="B46" s="10" t="s">
        <v>277</v>
      </c>
      <c r="C46" s="14" t="s">
        <v>278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>
        <v>1</v>
      </c>
      <c r="X46" s="11"/>
      <c r="Y46" s="11"/>
      <c r="Z46" s="11"/>
      <c r="AA46" s="11"/>
      <c r="AB46" s="11"/>
      <c r="AC46" s="11"/>
      <c r="AD46" s="11">
        <v>6</v>
      </c>
      <c r="AE46" s="11">
        <v>8</v>
      </c>
      <c r="AF46" s="11">
        <v>6</v>
      </c>
      <c r="AG46" s="11">
        <v>5</v>
      </c>
      <c r="AH46" s="11"/>
      <c r="AI46" s="2">
        <f t="shared" si="0"/>
        <v>26</v>
      </c>
    </row>
    <row r="47" spans="1:35" x14ac:dyDescent="0.25">
      <c r="A47" s="27">
        <v>41</v>
      </c>
      <c r="B47" s="8" t="s">
        <v>208</v>
      </c>
      <c r="C47" s="9" t="s">
        <v>279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>
        <v>0.5</v>
      </c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7">
        <v>42</v>
      </c>
      <c r="B48" s="8" t="s">
        <v>208</v>
      </c>
      <c r="C48" s="9" t="s">
        <v>280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>
        <v>0.5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0.5</v>
      </c>
    </row>
    <row r="49" spans="1:35" x14ac:dyDescent="0.25">
      <c r="A49" s="27">
        <v>43</v>
      </c>
      <c r="B49" s="8" t="s">
        <v>208</v>
      </c>
      <c r="C49" s="9" t="s">
        <v>281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>
        <v>0.5</v>
      </c>
      <c r="Y49" s="11"/>
      <c r="Z49" s="11"/>
      <c r="AA49" s="11"/>
      <c r="AB49" s="11"/>
      <c r="AC49" s="11"/>
      <c r="AD49" s="11">
        <v>0.5</v>
      </c>
      <c r="AE49" s="11"/>
      <c r="AF49" s="11"/>
      <c r="AG49" s="11"/>
      <c r="AH49" s="11"/>
      <c r="AI49" s="2">
        <f t="shared" si="0"/>
        <v>1</v>
      </c>
    </row>
    <row r="50" spans="1:35" x14ac:dyDescent="0.25">
      <c r="A50" s="27">
        <v>44</v>
      </c>
      <c r="B50" s="10" t="s">
        <v>5</v>
      </c>
      <c r="C50" s="14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>
        <v>2.5</v>
      </c>
      <c r="Y50" s="11">
        <v>3</v>
      </c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5.5</v>
      </c>
    </row>
    <row r="51" spans="1:35" x14ac:dyDescent="0.25">
      <c r="A51" s="27">
        <v>45</v>
      </c>
      <c r="B51" s="10" t="s">
        <v>282</v>
      </c>
      <c r="C51" s="10" t="s">
        <v>283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>
        <v>1</v>
      </c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1</v>
      </c>
    </row>
    <row r="52" spans="1:35" x14ac:dyDescent="0.25">
      <c r="A52" s="27">
        <v>46</v>
      </c>
      <c r="B52" s="10" t="s">
        <v>282</v>
      </c>
      <c r="C52" s="10" t="s">
        <v>284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>
        <v>1</v>
      </c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25">
      <c r="A53" s="27">
        <v>47</v>
      </c>
      <c r="B53" s="10" t="s">
        <v>282</v>
      </c>
      <c r="C53" s="14" t="s">
        <v>286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1</v>
      </c>
      <c r="AD53" s="11"/>
      <c r="AE53" s="11"/>
      <c r="AF53" s="11"/>
      <c r="AG53" s="11"/>
      <c r="AH53" s="11"/>
      <c r="AI53" s="2">
        <f t="shared" si="0"/>
        <v>1</v>
      </c>
    </row>
    <row r="54" spans="1:35" x14ac:dyDescent="0.25">
      <c r="A54" s="27">
        <v>48</v>
      </c>
      <c r="B54" s="8" t="s">
        <v>249</v>
      </c>
      <c r="C54" s="14" t="s">
        <v>285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2</v>
      </c>
      <c r="AD54" s="11"/>
      <c r="AE54" s="11"/>
      <c r="AF54" s="11"/>
      <c r="AG54" s="11"/>
      <c r="AH54" s="11"/>
      <c r="AI54" s="2">
        <f t="shared" si="0"/>
        <v>2</v>
      </c>
    </row>
    <row r="55" spans="1:35" x14ac:dyDescent="0.25">
      <c r="A55" s="27">
        <v>49</v>
      </c>
      <c r="B55" s="10" t="s">
        <v>287</v>
      </c>
      <c r="C55" s="10" t="s">
        <v>288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>
        <v>0.5</v>
      </c>
      <c r="AD55" s="11"/>
      <c r="AE55" s="11"/>
      <c r="AF55" s="11"/>
      <c r="AG55" s="11"/>
      <c r="AH55" s="11"/>
      <c r="AI55" s="2">
        <f t="shared" si="0"/>
        <v>0.5</v>
      </c>
    </row>
    <row r="56" spans="1:35" x14ac:dyDescent="0.25">
      <c r="A56" s="27">
        <v>50</v>
      </c>
      <c r="B56" s="10" t="s">
        <v>287</v>
      </c>
      <c r="C56" s="10" t="s">
        <v>289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>
        <v>0.5</v>
      </c>
      <c r="AD56" s="11"/>
      <c r="AE56" s="11"/>
      <c r="AF56" s="11"/>
      <c r="AG56" s="11"/>
      <c r="AH56" s="11"/>
      <c r="AI56" s="2">
        <f t="shared" si="0"/>
        <v>0.5</v>
      </c>
    </row>
    <row r="57" spans="1:35" x14ac:dyDescent="0.25">
      <c r="A57" s="27">
        <v>51</v>
      </c>
      <c r="B57" s="10" t="s">
        <v>207</v>
      </c>
      <c r="C57" s="6" t="s">
        <v>290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>
        <v>1.5</v>
      </c>
      <c r="AD57" s="11"/>
      <c r="AE57" s="11"/>
      <c r="AF57" s="11"/>
      <c r="AG57" s="11"/>
      <c r="AH57" s="11"/>
      <c r="AI57" s="2">
        <f t="shared" si="0"/>
        <v>1.5</v>
      </c>
    </row>
    <row r="58" spans="1:35" x14ac:dyDescent="0.25">
      <c r="A58" s="27">
        <v>52</v>
      </c>
      <c r="B58" s="10" t="s">
        <v>287</v>
      </c>
      <c r="C58" s="10" t="s">
        <v>291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>
        <v>1</v>
      </c>
      <c r="AE58" s="11"/>
      <c r="AF58" s="11"/>
      <c r="AG58" s="11"/>
      <c r="AH58" s="11"/>
      <c r="AI58" s="2">
        <f t="shared" si="0"/>
        <v>1</v>
      </c>
    </row>
    <row r="59" spans="1:35" x14ac:dyDescent="0.25">
      <c r="A59" s="27">
        <v>53</v>
      </c>
      <c r="B59" s="10" t="s">
        <v>287</v>
      </c>
      <c r="C59" s="10" t="s">
        <v>292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>
        <v>1</v>
      </c>
      <c r="AE59" s="11"/>
      <c r="AF59" s="11"/>
      <c r="AG59" s="11"/>
      <c r="AH59" s="11"/>
      <c r="AI59" s="2">
        <f t="shared" si="0"/>
        <v>1</v>
      </c>
    </row>
    <row r="60" spans="1:35" x14ac:dyDescent="0.25">
      <c r="A60" s="27">
        <v>54</v>
      </c>
      <c r="B60" s="10" t="s">
        <v>282</v>
      </c>
      <c r="C60" s="10" t="s">
        <v>293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>
        <v>0.5</v>
      </c>
      <c r="AE60" s="11"/>
      <c r="AF60" s="11"/>
      <c r="AG60" s="11"/>
      <c r="AH60" s="11"/>
      <c r="AI60" s="2">
        <f t="shared" si="0"/>
        <v>0.5</v>
      </c>
    </row>
    <row r="61" spans="1:35" x14ac:dyDescent="0.25">
      <c r="A61" s="27">
        <v>55</v>
      </c>
      <c r="B61" s="10" t="s">
        <v>277</v>
      </c>
      <c r="C61" s="14" t="s">
        <v>294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>
        <v>1</v>
      </c>
      <c r="AF61" s="11"/>
      <c r="AG61" s="11"/>
      <c r="AH61" s="11"/>
      <c r="AI61" s="2">
        <f t="shared" si="0"/>
        <v>1</v>
      </c>
    </row>
    <row r="62" spans="1:35" x14ac:dyDescent="0.25">
      <c r="A62" s="27">
        <v>56</v>
      </c>
      <c r="B62" s="8" t="s">
        <v>249</v>
      </c>
      <c r="C62" s="14" t="s">
        <v>297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>
        <v>0.5</v>
      </c>
      <c r="AG62" s="11">
        <v>1</v>
      </c>
      <c r="AH62" s="11"/>
      <c r="AI62" s="2">
        <f t="shared" si="0"/>
        <v>1.5</v>
      </c>
    </row>
    <row r="63" spans="1:35" x14ac:dyDescent="0.25">
      <c r="A63" s="27">
        <v>57</v>
      </c>
      <c r="B63" s="8" t="s">
        <v>249</v>
      </c>
      <c r="C63" s="14" t="s">
        <v>298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>
        <v>0.5</v>
      </c>
      <c r="AG63" s="11"/>
      <c r="AH63" s="11"/>
      <c r="AI63" s="2">
        <f t="shared" si="0"/>
        <v>0.5</v>
      </c>
    </row>
    <row r="64" spans="1:35" x14ac:dyDescent="0.25">
      <c r="A64" s="27">
        <v>58</v>
      </c>
      <c r="B64" s="10" t="s">
        <v>295</v>
      </c>
      <c r="C64" s="10" t="s">
        <v>299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>
        <v>0.5</v>
      </c>
      <c r="AG64" s="11"/>
      <c r="AH64" s="11"/>
      <c r="AI64" s="2">
        <f t="shared" si="0"/>
        <v>0.5</v>
      </c>
    </row>
    <row r="65" spans="1:35" x14ac:dyDescent="0.25">
      <c r="A65" s="27">
        <v>59</v>
      </c>
      <c r="B65" s="10" t="s">
        <v>295</v>
      </c>
      <c r="C65" s="14" t="s">
        <v>300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>
        <v>0.5</v>
      </c>
      <c r="AG65" s="11"/>
      <c r="AH65" s="11"/>
      <c r="AI65" s="2">
        <f t="shared" si="0"/>
        <v>0.5</v>
      </c>
    </row>
    <row r="66" spans="1:35" x14ac:dyDescent="0.25">
      <c r="A66" s="27">
        <v>60</v>
      </c>
      <c r="B66" s="10" t="s">
        <v>296</v>
      </c>
      <c r="C66" s="10" t="s">
        <v>301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>
        <v>0.5</v>
      </c>
      <c r="AG66" s="11"/>
      <c r="AH66" s="11"/>
      <c r="AI66" s="2">
        <f t="shared" si="0"/>
        <v>0.5</v>
      </c>
    </row>
    <row r="67" spans="1:35" x14ac:dyDescent="0.25">
      <c r="A67" s="27">
        <v>61</v>
      </c>
      <c r="B67" s="10" t="s">
        <v>296</v>
      </c>
      <c r="C67" s="14" t="s">
        <v>302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>
        <v>0.5</v>
      </c>
      <c r="AG67" s="11"/>
      <c r="AH67" s="11"/>
      <c r="AI67" s="2">
        <f t="shared" si="0"/>
        <v>0.5</v>
      </c>
    </row>
    <row r="68" spans="1:35" x14ac:dyDescent="0.25">
      <c r="A68" s="27">
        <v>62</v>
      </c>
      <c r="B68" s="10" t="s">
        <v>303</v>
      </c>
      <c r="C68" s="10" t="s">
        <v>304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>
        <v>1</v>
      </c>
      <c r="AH68" s="11"/>
      <c r="AI68" s="2">
        <f t="shared" si="0"/>
        <v>1</v>
      </c>
    </row>
    <row r="69" spans="1:35" x14ac:dyDescent="0.25">
      <c r="A69" s="27">
        <v>63</v>
      </c>
      <c r="B69" s="10" t="s">
        <v>305</v>
      </c>
      <c r="C69" s="10" t="s">
        <v>306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>
        <v>2</v>
      </c>
      <c r="AH69" s="11"/>
      <c r="AI69" s="2">
        <f t="shared" si="0"/>
        <v>2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9</v>
      </c>
      <c r="F107" s="12">
        <f t="shared" si="1"/>
        <v>0</v>
      </c>
      <c r="G107" s="3">
        <f t="shared" si="1"/>
        <v>0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0</v>
      </c>
      <c r="N107" s="3">
        <f t="shared" si="1"/>
        <v>0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0</v>
      </c>
      <c r="U107" s="3">
        <f t="shared" si="1"/>
        <v>0</v>
      </c>
      <c r="V107" s="3">
        <f t="shared" si="1"/>
        <v>9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9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0</v>
      </c>
      <c r="AI107" s="1">
        <f>SUM(D107:AH107)</f>
        <v>189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A1:AI107"/>
  <sheetViews>
    <sheetView tabSelected="1" topLeftCell="A64" zoomScaleNormal="100" workbookViewId="0">
      <pane xSplit="3" topLeftCell="AE1" activePane="topRight" state="frozen"/>
      <selection pane="topRight" activeCell="AH94" sqref="AH94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249</v>
      </c>
      <c r="C7" s="14" t="s">
        <v>298</v>
      </c>
      <c r="D7" s="13"/>
      <c r="E7" s="5"/>
      <c r="F7" s="5">
        <v>1</v>
      </c>
      <c r="G7" s="5"/>
      <c r="H7" s="5"/>
      <c r="I7" s="5"/>
      <c r="J7" s="5"/>
      <c r="K7" s="5"/>
      <c r="L7" s="5"/>
      <c r="M7" s="5"/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</v>
      </c>
    </row>
    <row r="8" spans="1:35" x14ac:dyDescent="0.25">
      <c r="A8" s="27">
        <v>2</v>
      </c>
      <c r="B8" s="10" t="s">
        <v>277</v>
      </c>
      <c r="C8" s="14" t="s">
        <v>312</v>
      </c>
      <c r="D8" s="7"/>
      <c r="E8" s="7"/>
      <c r="F8" s="7">
        <v>1</v>
      </c>
      <c r="G8" s="7">
        <v>2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3</v>
      </c>
    </row>
    <row r="9" spans="1:35" x14ac:dyDescent="0.25">
      <c r="A9" s="27">
        <v>3</v>
      </c>
      <c r="B9" s="14" t="s">
        <v>303</v>
      </c>
      <c r="C9" s="10" t="s">
        <v>304</v>
      </c>
      <c r="D9" s="7"/>
      <c r="E9" s="7"/>
      <c r="F9" s="7">
        <v>1</v>
      </c>
      <c r="G9" s="7">
        <v>0.5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1.5</v>
      </c>
    </row>
    <row r="10" spans="1:35" x14ac:dyDescent="0.25">
      <c r="A10" s="27">
        <v>4</v>
      </c>
      <c r="B10" s="10" t="s">
        <v>303</v>
      </c>
      <c r="C10" s="14" t="s">
        <v>307</v>
      </c>
      <c r="D10" s="7"/>
      <c r="E10" s="7"/>
      <c r="F10" s="7">
        <v>3</v>
      </c>
      <c r="G10" s="7">
        <v>0.5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3.5</v>
      </c>
    </row>
    <row r="11" spans="1:35" x14ac:dyDescent="0.25">
      <c r="A11" s="27">
        <v>5</v>
      </c>
      <c r="B11" s="8" t="s">
        <v>310</v>
      </c>
      <c r="C11" s="9" t="s">
        <v>311</v>
      </c>
      <c r="D11" s="7"/>
      <c r="E11" s="7"/>
      <c r="F11" s="7">
        <v>2</v>
      </c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3</v>
      </c>
    </row>
    <row r="12" spans="1:35" x14ac:dyDescent="0.25">
      <c r="A12" s="27">
        <v>6</v>
      </c>
      <c r="B12" s="8" t="s">
        <v>308</v>
      </c>
      <c r="C12" s="9" t="s">
        <v>309</v>
      </c>
      <c r="D12" s="7"/>
      <c r="E12" s="7"/>
      <c r="F12" s="7">
        <v>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25">
      <c r="A13" s="27">
        <v>7</v>
      </c>
      <c r="B13" s="10" t="s">
        <v>296</v>
      </c>
      <c r="C13" s="10" t="s">
        <v>301</v>
      </c>
      <c r="D13" s="7"/>
      <c r="E13" s="7"/>
      <c r="F13" s="51"/>
      <c r="G13" s="7">
        <v>1</v>
      </c>
      <c r="H13" s="7"/>
      <c r="I13" s="7"/>
      <c r="J13" s="7"/>
      <c r="K13" s="7"/>
      <c r="L13" s="7"/>
      <c r="M13" s="7"/>
      <c r="N13" s="7"/>
      <c r="O13" s="7"/>
      <c r="P13" s="7"/>
      <c r="Q13" s="7">
        <v>1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25">
      <c r="A14" s="27">
        <v>8</v>
      </c>
      <c r="B14" s="10" t="s">
        <v>295</v>
      </c>
      <c r="C14" s="10" t="s">
        <v>299</v>
      </c>
      <c r="D14" s="7"/>
      <c r="E14" s="7"/>
      <c r="F14" s="7"/>
      <c r="G14" s="7">
        <v>1</v>
      </c>
      <c r="H14" s="7">
        <v>1</v>
      </c>
      <c r="I14" s="7"/>
      <c r="J14" s="7"/>
      <c r="K14" s="7"/>
      <c r="L14" s="7"/>
      <c r="M14" s="7"/>
      <c r="N14" s="7"/>
      <c r="O14" s="7"/>
      <c r="P14" s="7"/>
      <c r="Q14" s="7">
        <v>2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4</v>
      </c>
    </row>
    <row r="15" spans="1:35" x14ac:dyDescent="0.25">
      <c r="A15" s="27">
        <v>9</v>
      </c>
      <c r="B15" s="8" t="s">
        <v>305</v>
      </c>
      <c r="C15" s="9" t="s">
        <v>313</v>
      </c>
      <c r="D15" s="7"/>
      <c r="E15" s="7"/>
      <c r="F15" s="7"/>
      <c r="G15" s="7">
        <v>0.5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25">
      <c r="A16" s="27">
        <v>10</v>
      </c>
      <c r="B16" s="8" t="s">
        <v>305</v>
      </c>
      <c r="C16" s="8" t="s">
        <v>314</v>
      </c>
      <c r="D16" s="7"/>
      <c r="E16" s="7"/>
      <c r="F16" s="7"/>
      <c r="G16" s="7">
        <v>0.5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25">
      <c r="A17" s="27">
        <v>11</v>
      </c>
      <c r="B17" s="8" t="s">
        <v>305</v>
      </c>
      <c r="C17" s="9" t="s">
        <v>315</v>
      </c>
      <c r="D17" s="7"/>
      <c r="E17" s="7"/>
      <c r="F17" s="7"/>
      <c r="G17" s="7">
        <v>2</v>
      </c>
      <c r="H17" s="7">
        <v>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5</v>
      </c>
    </row>
    <row r="18" spans="1:35" x14ac:dyDescent="0.25">
      <c r="A18" s="27">
        <v>12</v>
      </c>
      <c r="B18" s="8" t="s">
        <v>249</v>
      </c>
      <c r="C18" s="9" t="s">
        <v>316</v>
      </c>
      <c r="D18" s="7"/>
      <c r="E18" s="7"/>
      <c r="F18" s="7"/>
      <c r="G18" s="7"/>
      <c r="H18" s="7">
        <v>2</v>
      </c>
      <c r="I18" s="7"/>
      <c r="J18" s="7">
        <v>0.5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2.5</v>
      </c>
    </row>
    <row r="19" spans="1:35" x14ac:dyDescent="0.25">
      <c r="A19" s="27">
        <v>13</v>
      </c>
      <c r="B19" s="14" t="s">
        <v>277</v>
      </c>
      <c r="C19" s="9" t="s">
        <v>317</v>
      </c>
      <c r="D19" s="7"/>
      <c r="E19" s="7"/>
      <c r="F19" s="7"/>
      <c r="G19" s="7"/>
      <c r="H19" s="7">
        <v>1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7">
        <v>14</v>
      </c>
      <c r="B20" s="8" t="s">
        <v>318</v>
      </c>
      <c r="C20" s="9" t="s">
        <v>323</v>
      </c>
      <c r="D20" s="7"/>
      <c r="E20" s="7"/>
      <c r="F20" s="7"/>
      <c r="G20" s="7"/>
      <c r="H20" s="7">
        <v>2</v>
      </c>
      <c r="I20" s="7">
        <v>4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6</v>
      </c>
    </row>
    <row r="21" spans="1:35" x14ac:dyDescent="0.25">
      <c r="A21" s="27">
        <v>15</v>
      </c>
      <c r="B21" s="8" t="s">
        <v>318</v>
      </c>
      <c r="C21" s="9" t="s">
        <v>324</v>
      </c>
      <c r="D21" s="7"/>
      <c r="E21" s="7"/>
      <c r="F21" s="7"/>
      <c r="G21" s="7"/>
      <c r="H21" s="7"/>
      <c r="I21" s="7">
        <v>3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3</v>
      </c>
    </row>
    <row r="22" spans="1:35" x14ac:dyDescent="0.25">
      <c r="A22" s="27">
        <v>16</v>
      </c>
      <c r="B22" s="14" t="s">
        <v>277</v>
      </c>
      <c r="C22" s="9" t="s">
        <v>319</v>
      </c>
      <c r="D22" s="7"/>
      <c r="E22" s="7"/>
      <c r="F22" s="7"/>
      <c r="G22" s="7"/>
      <c r="H22" s="7"/>
      <c r="I22" s="7">
        <v>2</v>
      </c>
      <c r="J22" s="7">
        <v>3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5</v>
      </c>
    </row>
    <row r="23" spans="1:35" x14ac:dyDescent="0.25">
      <c r="A23" s="27">
        <v>17</v>
      </c>
      <c r="B23" s="8" t="s">
        <v>249</v>
      </c>
      <c r="C23" s="14" t="s">
        <v>320</v>
      </c>
      <c r="D23" s="7"/>
      <c r="E23" s="7"/>
      <c r="F23" s="7"/>
      <c r="G23" s="7"/>
      <c r="H23" s="7"/>
      <c r="I23" s="7"/>
      <c r="J23" s="7">
        <v>0.5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0.5</v>
      </c>
    </row>
    <row r="24" spans="1:35" x14ac:dyDescent="0.25">
      <c r="A24" s="27">
        <v>18</v>
      </c>
      <c r="B24" s="8" t="s">
        <v>321</v>
      </c>
      <c r="C24" s="14" t="s">
        <v>322</v>
      </c>
      <c r="D24" s="7"/>
      <c r="E24" s="7"/>
      <c r="F24" s="7"/>
      <c r="G24" s="7"/>
      <c r="H24" s="7"/>
      <c r="I24" s="7"/>
      <c r="J24" s="7">
        <v>5</v>
      </c>
      <c r="K24" s="7"/>
      <c r="L24" s="7"/>
      <c r="M24" s="7">
        <v>5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10</v>
      </c>
    </row>
    <row r="25" spans="1:35" x14ac:dyDescent="0.25">
      <c r="A25" s="27">
        <v>19</v>
      </c>
      <c r="B25" s="8" t="s">
        <v>318</v>
      </c>
      <c r="C25" s="9" t="s">
        <v>325</v>
      </c>
      <c r="D25" s="7"/>
      <c r="E25" s="7"/>
      <c r="F25" s="7"/>
      <c r="G25" s="7"/>
      <c r="H25" s="7"/>
      <c r="I25" s="7"/>
      <c r="J25" s="7"/>
      <c r="K25" s="7"/>
      <c r="L25" s="7"/>
      <c r="M25" s="7">
        <v>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25">
      <c r="A26" s="27">
        <v>20</v>
      </c>
      <c r="B26" s="8" t="s">
        <v>249</v>
      </c>
      <c r="C26" s="14" t="s">
        <v>326</v>
      </c>
      <c r="D26" s="7"/>
      <c r="E26" s="7"/>
      <c r="F26" s="7"/>
      <c r="G26" s="7"/>
      <c r="H26" s="7"/>
      <c r="I26" s="7"/>
      <c r="J26" s="7"/>
      <c r="K26" s="7"/>
      <c r="L26" s="7"/>
      <c r="M26" s="7">
        <v>2</v>
      </c>
      <c r="N26" s="7">
        <v>2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7">
        <v>21</v>
      </c>
      <c r="B27" s="8" t="s">
        <v>249</v>
      </c>
      <c r="C27" s="14" t="s">
        <v>297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v>2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7">
        <v>22</v>
      </c>
      <c r="B28" s="8" t="s">
        <v>318</v>
      </c>
      <c r="C28" s="9" t="s">
        <v>327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>
        <v>3</v>
      </c>
      <c r="O28" s="7">
        <v>5</v>
      </c>
      <c r="P28" s="7">
        <v>1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9</v>
      </c>
    </row>
    <row r="29" spans="1:35" x14ac:dyDescent="0.25">
      <c r="A29" s="27">
        <v>23</v>
      </c>
      <c r="B29" s="8" t="s">
        <v>318</v>
      </c>
      <c r="C29" s="9" t="s">
        <v>328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>
        <v>1</v>
      </c>
      <c r="P29" s="7">
        <v>0.5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1.5</v>
      </c>
    </row>
    <row r="30" spans="1:35" x14ac:dyDescent="0.25">
      <c r="A30" s="27">
        <v>24</v>
      </c>
      <c r="B30" s="8" t="s">
        <v>318</v>
      </c>
      <c r="C30" s="9" t="s">
        <v>329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2</v>
      </c>
      <c r="P30" s="7">
        <v>4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6</v>
      </c>
    </row>
    <row r="31" spans="1:35" x14ac:dyDescent="0.25">
      <c r="A31" s="27">
        <v>25</v>
      </c>
      <c r="B31" s="14" t="s">
        <v>277</v>
      </c>
      <c r="C31" s="9" t="s">
        <v>330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>
        <v>1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</v>
      </c>
    </row>
    <row r="32" spans="1:35" x14ac:dyDescent="0.25">
      <c r="A32" s="27">
        <v>26</v>
      </c>
      <c r="B32" s="8" t="s">
        <v>305</v>
      </c>
      <c r="C32" s="9" t="s">
        <v>331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>
        <v>0.5</v>
      </c>
      <c r="Q32" s="7">
        <v>1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1.5</v>
      </c>
    </row>
    <row r="33" spans="1:35" x14ac:dyDescent="0.25">
      <c r="A33" s="27">
        <v>27</v>
      </c>
      <c r="B33" s="8" t="s">
        <v>305</v>
      </c>
      <c r="C33" s="9" t="s">
        <v>332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>
        <v>1</v>
      </c>
      <c r="Q33" s="7"/>
      <c r="R33" s="7">
        <v>3.5</v>
      </c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4.5</v>
      </c>
    </row>
    <row r="34" spans="1:35" x14ac:dyDescent="0.25">
      <c r="A34" s="27">
        <v>28</v>
      </c>
      <c r="B34" s="8" t="s">
        <v>305</v>
      </c>
      <c r="C34" s="9" t="s">
        <v>333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v>2</v>
      </c>
      <c r="Q34" s="7">
        <v>6</v>
      </c>
      <c r="R34" s="7">
        <v>2.5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10.5</v>
      </c>
    </row>
    <row r="35" spans="1:35" x14ac:dyDescent="0.25">
      <c r="A35" s="27">
        <v>29</v>
      </c>
      <c r="B35" s="14" t="s">
        <v>277</v>
      </c>
      <c r="C35" s="9" t="s">
        <v>334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>
        <v>1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</v>
      </c>
    </row>
    <row r="36" spans="1:35" x14ac:dyDescent="0.25">
      <c r="A36" s="27">
        <v>30</v>
      </c>
      <c r="B36" s="10" t="s">
        <v>295</v>
      </c>
      <c r="C36" s="14" t="s">
        <v>335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v>1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</v>
      </c>
    </row>
    <row r="37" spans="1:35" x14ac:dyDescent="0.25">
      <c r="A37" s="27">
        <v>31</v>
      </c>
      <c r="B37" s="10" t="s">
        <v>295</v>
      </c>
      <c r="C37" s="14" t="s">
        <v>300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5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5</v>
      </c>
    </row>
    <row r="38" spans="1:35" x14ac:dyDescent="0.25">
      <c r="A38" s="27">
        <v>32</v>
      </c>
      <c r="B38" s="10" t="s">
        <v>295</v>
      </c>
      <c r="C38" s="14" t="s">
        <v>302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>
        <v>4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4</v>
      </c>
    </row>
    <row r="39" spans="1:35" x14ac:dyDescent="0.25">
      <c r="A39" s="27">
        <v>33</v>
      </c>
      <c r="B39" s="10" t="s">
        <v>275</v>
      </c>
      <c r="C39" s="10" t="s">
        <v>336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>
        <v>9</v>
      </c>
      <c r="V39" s="11"/>
      <c r="W39" s="11">
        <v>1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10</v>
      </c>
    </row>
    <row r="40" spans="1:35" x14ac:dyDescent="0.25">
      <c r="A40" s="27">
        <v>34</v>
      </c>
      <c r="B40" s="10" t="s">
        <v>275</v>
      </c>
      <c r="C40" s="14" t="s">
        <v>337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4</v>
      </c>
      <c r="W40" s="11">
        <v>2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6</v>
      </c>
    </row>
    <row r="41" spans="1:35" x14ac:dyDescent="0.25">
      <c r="A41" s="27">
        <v>35</v>
      </c>
      <c r="B41" s="10" t="s">
        <v>275</v>
      </c>
      <c r="C41" s="14" t="s">
        <v>338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5</v>
      </c>
      <c r="W41" s="11">
        <v>2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7</v>
      </c>
    </row>
    <row r="42" spans="1:35" x14ac:dyDescent="0.25">
      <c r="A42" s="27">
        <v>36</v>
      </c>
      <c r="B42" s="10" t="s">
        <v>275</v>
      </c>
      <c r="C42" s="14" t="s">
        <v>339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>
        <v>2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2</v>
      </c>
    </row>
    <row r="43" spans="1:35" x14ac:dyDescent="0.25">
      <c r="A43" s="27">
        <v>37</v>
      </c>
      <c r="B43" s="10" t="s">
        <v>340</v>
      </c>
      <c r="C43" s="10" t="s">
        <v>341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>
        <v>2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2</v>
      </c>
    </row>
    <row r="44" spans="1:35" x14ac:dyDescent="0.25">
      <c r="A44" s="27">
        <v>38</v>
      </c>
      <c r="B44" s="10" t="s">
        <v>340</v>
      </c>
      <c r="C44" s="10" t="s">
        <v>342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>
        <v>1</v>
      </c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1</v>
      </c>
    </row>
    <row r="45" spans="1:35" x14ac:dyDescent="0.25">
      <c r="A45" s="27">
        <v>39</v>
      </c>
      <c r="B45" s="10" t="s">
        <v>340</v>
      </c>
      <c r="C45" s="14" t="s">
        <v>343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>
        <v>1</v>
      </c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1</v>
      </c>
    </row>
    <row r="46" spans="1:35" x14ac:dyDescent="0.25">
      <c r="A46" s="27">
        <v>40</v>
      </c>
      <c r="B46" s="10" t="s">
        <v>340</v>
      </c>
      <c r="C46" s="10" t="s">
        <v>344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>
        <v>1</v>
      </c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1</v>
      </c>
    </row>
    <row r="47" spans="1:35" x14ac:dyDescent="0.25">
      <c r="A47" s="27">
        <v>41</v>
      </c>
      <c r="B47" s="10" t="s">
        <v>340</v>
      </c>
      <c r="C47" s="10" t="s">
        <v>345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>
        <v>1</v>
      </c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1</v>
      </c>
    </row>
    <row r="48" spans="1:35" x14ac:dyDescent="0.25">
      <c r="A48" s="27">
        <v>42</v>
      </c>
      <c r="B48" s="10" t="s">
        <v>340</v>
      </c>
      <c r="C48" s="10" t="s">
        <v>346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>
        <v>1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</v>
      </c>
    </row>
    <row r="49" spans="1:35" x14ac:dyDescent="0.25">
      <c r="A49" s="27">
        <v>43</v>
      </c>
      <c r="B49" s="8" t="s">
        <v>249</v>
      </c>
      <c r="C49" s="10" t="s">
        <v>347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>
        <v>0.5</v>
      </c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25">
      <c r="A50" s="27">
        <v>44</v>
      </c>
      <c r="B50" s="10" t="s">
        <v>348</v>
      </c>
      <c r="C50" s="10" t="s">
        <v>349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>
        <v>1</v>
      </c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1</v>
      </c>
    </row>
    <row r="51" spans="1:35" x14ac:dyDescent="0.25">
      <c r="A51" s="27">
        <v>45</v>
      </c>
      <c r="B51" s="10" t="s">
        <v>348</v>
      </c>
      <c r="C51" s="14" t="s">
        <v>350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>
        <v>0.5</v>
      </c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0.5</v>
      </c>
    </row>
    <row r="52" spans="1:35" x14ac:dyDescent="0.25">
      <c r="A52" s="27">
        <v>46</v>
      </c>
      <c r="B52" s="10" t="s">
        <v>348</v>
      </c>
      <c r="C52" s="10" t="s">
        <v>351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>
        <v>0.5</v>
      </c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0.5</v>
      </c>
    </row>
    <row r="53" spans="1:35" x14ac:dyDescent="0.25">
      <c r="A53" s="27">
        <v>47</v>
      </c>
      <c r="B53" s="10" t="s">
        <v>348</v>
      </c>
      <c r="C53" s="10" t="s">
        <v>352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>
        <v>0.5</v>
      </c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0.5</v>
      </c>
    </row>
    <row r="54" spans="1:35" x14ac:dyDescent="0.25">
      <c r="A54" s="27">
        <v>48</v>
      </c>
      <c r="B54" s="10" t="s">
        <v>353</v>
      </c>
      <c r="C54" s="10" t="s">
        <v>354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>
        <v>1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1</v>
      </c>
    </row>
    <row r="55" spans="1:35" x14ac:dyDescent="0.25">
      <c r="A55" s="27">
        <v>49</v>
      </c>
      <c r="B55" s="10" t="s">
        <v>353</v>
      </c>
      <c r="C55" s="10" t="s">
        <v>354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>
        <v>2</v>
      </c>
      <c r="AB55" s="11"/>
      <c r="AC55" s="11"/>
      <c r="AD55" s="11"/>
      <c r="AE55" s="11"/>
      <c r="AF55" s="11"/>
      <c r="AG55" s="11"/>
      <c r="AH55" s="11"/>
      <c r="AI55" s="2">
        <f t="shared" si="0"/>
        <v>2</v>
      </c>
    </row>
    <row r="56" spans="1:35" x14ac:dyDescent="0.25">
      <c r="A56" s="27">
        <v>50</v>
      </c>
      <c r="B56" s="8" t="s">
        <v>213</v>
      </c>
      <c r="C56" s="10" t="s">
        <v>355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>
        <v>3</v>
      </c>
      <c r="AB56" s="11"/>
      <c r="AC56" s="11"/>
      <c r="AD56" s="11"/>
      <c r="AE56" s="11"/>
      <c r="AF56" s="11"/>
      <c r="AG56" s="11"/>
      <c r="AH56" s="11"/>
      <c r="AI56" s="2">
        <f t="shared" si="0"/>
        <v>3</v>
      </c>
    </row>
    <row r="57" spans="1:35" x14ac:dyDescent="0.25">
      <c r="A57" s="27">
        <v>51</v>
      </c>
      <c r="B57" s="10" t="s">
        <v>356</v>
      </c>
      <c r="C57" s="14" t="s">
        <v>358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>
        <v>1</v>
      </c>
      <c r="AB57" s="11"/>
      <c r="AC57" s="11"/>
      <c r="AD57" s="11"/>
      <c r="AE57" s="11"/>
      <c r="AF57" s="11"/>
      <c r="AG57" s="11"/>
      <c r="AH57" s="11"/>
      <c r="AI57" s="2">
        <f t="shared" si="0"/>
        <v>1</v>
      </c>
    </row>
    <row r="58" spans="1:35" x14ac:dyDescent="0.25">
      <c r="A58" s="27">
        <v>52</v>
      </c>
      <c r="B58" s="10" t="s">
        <v>356</v>
      </c>
      <c r="C58" s="14" t="s">
        <v>359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>
        <v>1</v>
      </c>
      <c r="AB58" s="11"/>
      <c r="AC58" s="11"/>
      <c r="AD58" s="11"/>
      <c r="AE58" s="11"/>
      <c r="AF58" s="11"/>
      <c r="AG58" s="11"/>
      <c r="AH58" s="11"/>
      <c r="AI58" s="2">
        <f t="shared" si="0"/>
        <v>1</v>
      </c>
    </row>
    <row r="59" spans="1:35" x14ac:dyDescent="0.25">
      <c r="A59" s="27">
        <v>53</v>
      </c>
      <c r="B59" s="10" t="s">
        <v>356</v>
      </c>
      <c r="C59" s="14" t="s">
        <v>360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>
        <v>1</v>
      </c>
      <c r="AB59" s="11"/>
      <c r="AC59" s="11"/>
      <c r="AD59" s="11"/>
      <c r="AE59" s="11"/>
      <c r="AF59" s="11"/>
      <c r="AG59" s="11"/>
      <c r="AH59" s="11"/>
      <c r="AI59" s="2">
        <f t="shared" si="0"/>
        <v>1</v>
      </c>
    </row>
    <row r="60" spans="1:35" x14ac:dyDescent="0.25">
      <c r="A60" s="27">
        <v>54</v>
      </c>
      <c r="B60" s="10" t="s">
        <v>356</v>
      </c>
      <c r="C60" s="10" t="s">
        <v>357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>
        <v>1</v>
      </c>
      <c r="AB60" s="11"/>
      <c r="AC60" s="11"/>
      <c r="AD60" s="11"/>
      <c r="AE60" s="11"/>
      <c r="AF60" s="11"/>
      <c r="AG60" s="11"/>
      <c r="AH60" s="11"/>
      <c r="AI60" s="2">
        <f t="shared" si="0"/>
        <v>1</v>
      </c>
    </row>
    <row r="61" spans="1:35" x14ac:dyDescent="0.25">
      <c r="A61" s="27">
        <v>55</v>
      </c>
      <c r="B61" s="10" t="s">
        <v>207</v>
      </c>
      <c r="C61" s="14" t="s">
        <v>219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>
        <v>1</v>
      </c>
      <c r="AC61" s="11"/>
      <c r="AD61" s="11"/>
      <c r="AE61" s="11"/>
      <c r="AF61" s="11"/>
      <c r="AG61" s="11"/>
      <c r="AH61" s="11"/>
      <c r="AI61" s="2">
        <f t="shared" si="0"/>
        <v>1</v>
      </c>
    </row>
    <row r="62" spans="1:35" x14ac:dyDescent="0.25">
      <c r="A62" s="27">
        <v>56</v>
      </c>
      <c r="B62" s="10" t="s">
        <v>207</v>
      </c>
      <c r="C62" s="14" t="s">
        <v>237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>
        <v>1</v>
      </c>
      <c r="AC62" s="11"/>
      <c r="AD62" s="11"/>
      <c r="AE62" s="11"/>
      <c r="AF62" s="11"/>
      <c r="AG62" s="11"/>
      <c r="AH62" s="11"/>
      <c r="AI62" s="2">
        <f t="shared" si="0"/>
        <v>1</v>
      </c>
    </row>
    <row r="63" spans="1:35" x14ac:dyDescent="0.25">
      <c r="A63" s="27">
        <v>57</v>
      </c>
      <c r="B63" s="10" t="s">
        <v>207</v>
      </c>
      <c r="C63" s="14" t="s">
        <v>244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>
        <v>1</v>
      </c>
      <c r="AC63" s="11"/>
      <c r="AD63" s="11"/>
      <c r="AE63" s="11"/>
      <c r="AF63" s="11"/>
      <c r="AG63" s="11"/>
      <c r="AH63" s="11"/>
      <c r="AI63" s="2">
        <f t="shared" si="0"/>
        <v>1</v>
      </c>
    </row>
    <row r="64" spans="1:35" x14ac:dyDescent="0.25">
      <c r="A64" s="27">
        <v>58</v>
      </c>
      <c r="B64" s="10" t="s">
        <v>207</v>
      </c>
      <c r="C64" s="14" t="s">
        <v>246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>
        <v>1</v>
      </c>
      <c r="AC64" s="11"/>
      <c r="AD64" s="11"/>
      <c r="AE64" s="11"/>
      <c r="AF64" s="11"/>
      <c r="AG64" s="11"/>
      <c r="AH64" s="11"/>
      <c r="AI64" s="2">
        <f t="shared" si="0"/>
        <v>1</v>
      </c>
    </row>
    <row r="65" spans="1:35" x14ac:dyDescent="0.25">
      <c r="A65" s="27">
        <v>59</v>
      </c>
      <c r="B65" s="10" t="s">
        <v>207</v>
      </c>
      <c r="C65" s="14" t="s">
        <v>248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>
        <v>1</v>
      </c>
      <c r="AC65" s="11"/>
      <c r="AD65" s="11"/>
      <c r="AE65" s="11"/>
      <c r="AF65" s="11"/>
      <c r="AG65" s="11"/>
      <c r="AH65" s="11"/>
      <c r="AI65" s="2">
        <f t="shared" si="0"/>
        <v>1</v>
      </c>
    </row>
    <row r="66" spans="1:35" x14ac:dyDescent="0.25">
      <c r="A66" s="27">
        <v>60</v>
      </c>
      <c r="B66" s="10" t="s">
        <v>207</v>
      </c>
      <c r="C66" s="14" t="s">
        <v>252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>
        <v>1</v>
      </c>
      <c r="AC66" s="11"/>
      <c r="AD66" s="11"/>
      <c r="AE66" s="11"/>
      <c r="AF66" s="11"/>
      <c r="AG66" s="11"/>
      <c r="AH66" s="11"/>
      <c r="AI66" s="2">
        <f t="shared" si="0"/>
        <v>1</v>
      </c>
    </row>
    <row r="67" spans="1:35" x14ac:dyDescent="0.25">
      <c r="A67" s="27">
        <v>61</v>
      </c>
      <c r="B67" s="10" t="s">
        <v>207</v>
      </c>
      <c r="C67" s="14" t="s">
        <v>361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1</v>
      </c>
      <c r="AC67" s="11"/>
      <c r="AD67" s="11"/>
      <c r="AE67" s="11"/>
      <c r="AF67" s="11"/>
      <c r="AG67" s="11"/>
      <c r="AH67" s="11"/>
      <c r="AI67" s="2">
        <f t="shared" si="0"/>
        <v>1</v>
      </c>
    </row>
    <row r="68" spans="1:35" x14ac:dyDescent="0.25">
      <c r="A68" s="27">
        <v>62</v>
      </c>
      <c r="B68" s="10" t="s">
        <v>207</v>
      </c>
      <c r="C68" s="14" t="s">
        <v>362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0.7</v>
      </c>
      <c r="AC68" s="11"/>
      <c r="AD68" s="11"/>
      <c r="AE68" s="11"/>
      <c r="AF68" s="11"/>
      <c r="AG68" s="11"/>
      <c r="AH68" s="11"/>
      <c r="AI68" s="2">
        <f t="shared" si="0"/>
        <v>0.7</v>
      </c>
    </row>
    <row r="69" spans="1:35" x14ac:dyDescent="0.25">
      <c r="A69" s="27">
        <v>63</v>
      </c>
      <c r="B69" s="10" t="s">
        <v>207</v>
      </c>
      <c r="C69" s="14" t="s">
        <v>363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0.7</v>
      </c>
      <c r="AC69" s="11"/>
      <c r="AD69" s="11"/>
      <c r="AE69" s="11"/>
      <c r="AF69" s="11"/>
      <c r="AG69" s="11"/>
      <c r="AH69" s="11"/>
      <c r="AI69" s="2">
        <f t="shared" si="0"/>
        <v>0.7</v>
      </c>
    </row>
    <row r="70" spans="1:35" x14ac:dyDescent="0.25">
      <c r="A70" s="27">
        <v>64</v>
      </c>
      <c r="B70" s="8" t="s">
        <v>249</v>
      </c>
      <c r="C70" s="14" t="s">
        <v>316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>
        <v>0.3</v>
      </c>
      <c r="AC70" s="11"/>
      <c r="AD70" s="11"/>
      <c r="AE70" s="11"/>
      <c r="AF70" s="11"/>
      <c r="AG70" s="11"/>
      <c r="AH70" s="11"/>
      <c r="AI70" s="2">
        <f t="shared" si="0"/>
        <v>0.3</v>
      </c>
    </row>
    <row r="71" spans="1:35" x14ac:dyDescent="0.25">
      <c r="A71" s="27">
        <v>65</v>
      </c>
      <c r="B71" s="8" t="s">
        <v>249</v>
      </c>
      <c r="C71" s="14" t="s">
        <v>364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>
        <v>0.3</v>
      </c>
      <c r="AC71" s="11">
        <v>1</v>
      </c>
      <c r="AD71" s="11"/>
      <c r="AE71" s="11"/>
      <c r="AF71" s="11"/>
      <c r="AG71" s="11"/>
      <c r="AH71" s="11"/>
      <c r="AI71" s="2">
        <f t="shared" si="0"/>
        <v>1.3</v>
      </c>
    </row>
    <row r="72" spans="1:35" x14ac:dyDescent="0.25">
      <c r="A72" s="27">
        <v>66</v>
      </c>
      <c r="B72" s="10" t="s">
        <v>133</v>
      </c>
      <c r="C72" s="10" t="s">
        <v>365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>
        <v>3</v>
      </c>
      <c r="AD72" s="11">
        <v>0.5</v>
      </c>
      <c r="AE72" s="11"/>
      <c r="AF72" s="11"/>
      <c r="AG72" s="11"/>
      <c r="AH72" s="11"/>
      <c r="AI72" s="2">
        <f t="shared" si="0"/>
        <v>3.5</v>
      </c>
    </row>
    <row r="73" spans="1:35" x14ac:dyDescent="0.25">
      <c r="A73" s="27">
        <v>67</v>
      </c>
      <c r="B73" s="10" t="s">
        <v>275</v>
      </c>
      <c r="C73" s="10" t="s">
        <v>366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>
        <v>1.5</v>
      </c>
      <c r="AD73" s="11"/>
      <c r="AE73" s="11"/>
      <c r="AF73" s="11"/>
      <c r="AG73" s="11"/>
      <c r="AH73" s="11"/>
      <c r="AI73" s="2">
        <f t="shared" si="0"/>
        <v>1.5</v>
      </c>
    </row>
    <row r="74" spans="1:35" x14ac:dyDescent="0.25">
      <c r="A74" s="27">
        <v>68</v>
      </c>
      <c r="B74" s="10" t="s">
        <v>275</v>
      </c>
      <c r="C74" s="10" t="s">
        <v>367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>
        <v>1</v>
      </c>
      <c r="AD74" s="11">
        <v>1</v>
      </c>
      <c r="AE74" s="11"/>
      <c r="AF74" s="11"/>
      <c r="AG74" s="11"/>
      <c r="AH74" s="11"/>
      <c r="AI74" s="2">
        <f t="shared" si="0"/>
        <v>2</v>
      </c>
    </row>
    <row r="75" spans="1:35" x14ac:dyDescent="0.25">
      <c r="A75" s="27">
        <v>69</v>
      </c>
      <c r="B75" s="10" t="s">
        <v>275</v>
      </c>
      <c r="C75" s="10" t="s">
        <v>368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>
        <v>1</v>
      </c>
      <c r="AD75" s="11">
        <v>1</v>
      </c>
      <c r="AE75" s="11">
        <v>2</v>
      </c>
      <c r="AF75" s="11"/>
      <c r="AG75" s="11"/>
      <c r="AH75" s="11"/>
      <c r="AI75" s="2">
        <f t="shared" si="0"/>
        <v>4</v>
      </c>
    </row>
    <row r="76" spans="1:35" x14ac:dyDescent="0.25">
      <c r="A76" s="27">
        <v>70</v>
      </c>
      <c r="B76" s="10" t="s">
        <v>275</v>
      </c>
      <c r="C76" s="10" t="s">
        <v>369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>
        <v>1</v>
      </c>
      <c r="AD76" s="11"/>
      <c r="AE76" s="11"/>
      <c r="AF76" s="11"/>
      <c r="AG76" s="11"/>
      <c r="AH76" s="11"/>
      <c r="AI76" s="2">
        <f t="shared" si="0"/>
        <v>1</v>
      </c>
    </row>
    <row r="77" spans="1:35" x14ac:dyDescent="0.25">
      <c r="A77" s="27">
        <v>71</v>
      </c>
      <c r="B77" s="10" t="s">
        <v>370</v>
      </c>
      <c r="C77" s="14" t="s">
        <v>371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>
        <v>0.5</v>
      </c>
      <c r="AD77" s="11"/>
      <c r="AE77" s="11"/>
      <c r="AF77" s="11"/>
      <c r="AG77" s="11"/>
      <c r="AH77" s="11"/>
      <c r="AI77" s="2">
        <f t="shared" si="0"/>
        <v>0.5</v>
      </c>
    </row>
    <row r="78" spans="1:35" x14ac:dyDescent="0.25">
      <c r="A78" s="27">
        <v>72</v>
      </c>
      <c r="B78" s="10" t="s">
        <v>133</v>
      </c>
      <c r="C78" s="14" t="s">
        <v>372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>
        <v>0.5</v>
      </c>
      <c r="AE78" s="11"/>
      <c r="AF78" s="11"/>
      <c r="AG78" s="11"/>
      <c r="AH78" s="11"/>
      <c r="AI78" s="2">
        <f t="shared" si="0"/>
        <v>0.5</v>
      </c>
    </row>
    <row r="79" spans="1:35" x14ac:dyDescent="0.25">
      <c r="A79" s="27">
        <v>73</v>
      </c>
      <c r="B79" s="10" t="s">
        <v>275</v>
      </c>
      <c r="C79" s="14" t="s">
        <v>373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>
        <v>1</v>
      </c>
      <c r="AE79" s="11"/>
      <c r="AF79" s="11"/>
      <c r="AG79" s="11"/>
      <c r="AH79" s="11"/>
      <c r="AI79" s="2">
        <f t="shared" si="0"/>
        <v>1</v>
      </c>
    </row>
    <row r="80" spans="1:35" x14ac:dyDescent="0.25">
      <c r="A80" s="27">
        <v>74</v>
      </c>
      <c r="B80" s="10" t="s">
        <v>275</v>
      </c>
      <c r="C80" s="14" t="s">
        <v>374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>
        <v>1</v>
      </c>
      <c r="AE80" s="11"/>
      <c r="AF80" s="11"/>
      <c r="AG80" s="11"/>
      <c r="AH80" s="11"/>
      <c r="AI80" s="2">
        <f t="shared" si="0"/>
        <v>1</v>
      </c>
    </row>
    <row r="81" spans="1:35" x14ac:dyDescent="0.25">
      <c r="A81" s="27">
        <v>75</v>
      </c>
      <c r="B81" s="10" t="s">
        <v>275</v>
      </c>
      <c r="C81" s="10" t="s">
        <v>375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>
        <v>1</v>
      </c>
      <c r="AE81" s="11"/>
      <c r="AF81" s="11"/>
      <c r="AG81" s="11"/>
      <c r="AH81" s="11"/>
      <c r="AI81" s="2">
        <f t="shared" si="0"/>
        <v>1</v>
      </c>
    </row>
    <row r="82" spans="1:35" x14ac:dyDescent="0.25">
      <c r="A82" s="27">
        <v>76</v>
      </c>
      <c r="B82" s="10" t="s">
        <v>275</v>
      </c>
      <c r="C82" s="10" t="s">
        <v>376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>
        <v>1</v>
      </c>
      <c r="AE82" s="11"/>
      <c r="AF82" s="11"/>
      <c r="AG82" s="11"/>
      <c r="AH82" s="11"/>
      <c r="AI82" s="2">
        <f t="shared" si="0"/>
        <v>1</v>
      </c>
    </row>
    <row r="83" spans="1:35" x14ac:dyDescent="0.25">
      <c r="A83" s="27">
        <v>77</v>
      </c>
      <c r="B83" s="10" t="s">
        <v>275</v>
      </c>
      <c r="C83" s="10" t="s">
        <v>377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1</v>
      </c>
      <c r="AE83" s="11"/>
      <c r="AF83" s="11"/>
      <c r="AG83" s="11"/>
      <c r="AH83" s="11"/>
      <c r="AI83" s="2">
        <f t="shared" si="0"/>
        <v>1</v>
      </c>
    </row>
    <row r="84" spans="1:35" x14ac:dyDescent="0.25">
      <c r="A84" s="27">
        <v>78</v>
      </c>
      <c r="B84" s="10" t="s">
        <v>275</v>
      </c>
      <c r="C84" s="14" t="s">
        <v>378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</v>
      </c>
      <c r="AE84" s="11"/>
      <c r="AF84" s="11"/>
      <c r="AG84" s="11"/>
      <c r="AH84" s="11"/>
      <c r="AI84" s="2">
        <f t="shared" si="0"/>
        <v>1</v>
      </c>
    </row>
    <row r="85" spans="1:35" x14ac:dyDescent="0.25">
      <c r="A85" s="27">
        <v>79</v>
      </c>
      <c r="B85" s="10" t="s">
        <v>379</v>
      </c>
      <c r="C85" s="10" t="s">
        <v>380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>
        <v>2</v>
      </c>
      <c r="AF85" s="11"/>
      <c r="AG85" s="11"/>
      <c r="AH85" s="11"/>
      <c r="AI85" s="2">
        <f t="shared" si="0"/>
        <v>2</v>
      </c>
    </row>
    <row r="86" spans="1:35" x14ac:dyDescent="0.25">
      <c r="A86" s="27">
        <v>80</v>
      </c>
      <c r="B86" s="10" t="s">
        <v>381</v>
      </c>
      <c r="C86" s="10" t="s">
        <v>382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>
        <v>1</v>
      </c>
      <c r="AF86" s="11"/>
      <c r="AG86" s="11"/>
      <c r="AH86" s="11"/>
      <c r="AI86" s="2">
        <f t="shared" si="0"/>
        <v>1</v>
      </c>
    </row>
    <row r="87" spans="1:35" x14ac:dyDescent="0.25">
      <c r="A87" s="27">
        <v>81</v>
      </c>
      <c r="B87" s="10" t="s">
        <v>275</v>
      </c>
      <c r="C87" s="10" t="s">
        <v>383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>
        <v>1</v>
      </c>
      <c r="AF87" s="11"/>
      <c r="AG87" s="11"/>
      <c r="AH87" s="11"/>
      <c r="AI87" s="2">
        <f t="shared" si="0"/>
        <v>1</v>
      </c>
    </row>
    <row r="88" spans="1:35" x14ac:dyDescent="0.25">
      <c r="A88" s="27">
        <v>82</v>
      </c>
      <c r="B88" s="10" t="s">
        <v>259</v>
      </c>
      <c r="C88" s="10" t="s">
        <v>384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>
        <v>2</v>
      </c>
      <c r="AF88" s="11"/>
      <c r="AG88" s="11"/>
      <c r="AH88" s="11"/>
      <c r="AI88" s="2">
        <f t="shared" si="0"/>
        <v>2</v>
      </c>
    </row>
    <row r="89" spans="1:35" x14ac:dyDescent="0.25">
      <c r="A89" s="27">
        <v>83</v>
      </c>
      <c r="B89" s="10" t="s">
        <v>259</v>
      </c>
      <c r="C89" s="10" t="s">
        <v>385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>
        <v>1</v>
      </c>
      <c r="AF89" s="11"/>
      <c r="AG89" s="11"/>
      <c r="AH89" s="11">
        <v>2</v>
      </c>
      <c r="AI89" s="2">
        <f t="shared" si="0"/>
        <v>3</v>
      </c>
    </row>
    <row r="90" spans="1:35" x14ac:dyDescent="0.25">
      <c r="A90" s="27">
        <v>84</v>
      </c>
      <c r="B90" s="10" t="s">
        <v>275</v>
      </c>
      <c r="C90" s="14" t="s">
        <v>386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50"/>
      <c r="AF90" s="11"/>
      <c r="AG90" s="11"/>
      <c r="AH90" s="11">
        <v>1</v>
      </c>
      <c r="AI90" s="2">
        <f t="shared" si="0"/>
        <v>1</v>
      </c>
    </row>
    <row r="91" spans="1:35" x14ac:dyDescent="0.25">
      <c r="A91" s="27">
        <v>85</v>
      </c>
      <c r="B91" s="10" t="s">
        <v>287</v>
      </c>
      <c r="C91" s="14" t="s">
        <v>387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>
        <v>1</v>
      </c>
      <c r="AI91" s="2">
        <f t="shared" si="0"/>
        <v>1</v>
      </c>
    </row>
    <row r="92" spans="1:35" x14ac:dyDescent="0.25">
      <c r="A92" s="27">
        <v>86</v>
      </c>
      <c r="B92" s="10" t="s">
        <v>277</v>
      </c>
      <c r="C92" s="14" t="s">
        <v>389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>
        <v>2</v>
      </c>
      <c r="AI92" s="2">
        <f t="shared" si="0"/>
        <v>2</v>
      </c>
    </row>
    <row r="93" spans="1:35" x14ac:dyDescent="0.25">
      <c r="A93" s="27">
        <v>87</v>
      </c>
      <c r="B93" s="10" t="s">
        <v>277</v>
      </c>
      <c r="C93" s="10" t="s">
        <v>388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>
        <v>3</v>
      </c>
      <c r="AI93" s="2">
        <f t="shared" si="0"/>
        <v>3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8</v>
      </c>
      <c r="O107" s="3">
        <f t="shared" si="1"/>
        <v>9</v>
      </c>
      <c r="P107" s="3">
        <f t="shared" si="1"/>
        <v>9</v>
      </c>
      <c r="Q107" s="3">
        <f t="shared" si="1"/>
        <v>12</v>
      </c>
      <c r="R107" s="3">
        <f t="shared" si="1"/>
        <v>6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9</v>
      </c>
      <c r="Y107" s="3">
        <f t="shared" si="1"/>
        <v>0</v>
      </c>
      <c r="Z107" s="3">
        <f t="shared" si="1"/>
        <v>0</v>
      </c>
      <c r="AA107" s="3">
        <f t="shared" si="1"/>
        <v>9</v>
      </c>
      <c r="AB107" s="3">
        <f t="shared" si="1"/>
        <v>9.0000000000000018</v>
      </c>
      <c r="AC107" s="3">
        <f t="shared" si="1"/>
        <v>9</v>
      </c>
      <c r="AD107" s="3">
        <f t="shared" si="1"/>
        <v>9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9</v>
      </c>
      <c r="AI107" s="1">
        <f>SUM(D107:AH107)</f>
        <v>197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/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/>
  <dimension ref="A1:AI107"/>
  <sheetViews>
    <sheetView zoomScale="55" zoomScaleNormal="55" workbookViewId="0">
      <pane xSplit="3" topLeftCell="D1" activePane="topRight" state="frozen"/>
      <selection pane="topRight" activeCell="B108" sqref="B108:C11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/>
  <dimension ref="A1:AI107"/>
  <sheetViews>
    <sheetView zoomScale="55" zoomScaleNormal="55" workbookViewId="0">
      <pane xSplit="3" topLeftCell="D1" activePane="topRight" state="frozen"/>
      <selection pane="topRight" activeCell="B7" sqref="B7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2"/>
  <dimension ref="A1:AI107"/>
  <sheetViews>
    <sheetView zoomScale="55" zoomScaleNormal="55" workbookViewId="0">
      <pane xSplit="3" topLeftCell="D1" activePane="topRight" state="frozen"/>
      <selection pane="topRight" activeCell="B108" sqref="B108:C11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rno</cp:lastModifiedBy>
  <cp:lastPrinted>2023-02-01T10:45:58Z</cp:lastPrinted>
  <dcterms:created xsi:type="dcterms:W3CDTF">2018-05-03T18:37:11Z</dcterms:created>
  <dcterms:modified xsi:type="dcterms:W3CDTF">2023-07-31T21:08:18Z</dcterms:modified>
</cp:coreProperties>
</file>