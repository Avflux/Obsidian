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4\"/>
    </mc:Choice>
  </mc:AlternateContent>
  <xr:revisionPtr revIDLastSave="0" documentId="13_ncr:1_{7A20AD61-1BB8-4B4F-994A-0C69F6F8DD03}" xr6:coauthVersionLast="47" xr6:coauthVersionMax="47" xr10:uidLastSave="{00000000-0000-0000-0000-000000000000}"/>
  <workbookProtection workbookPassword="CF6C" lockStructure="1"/>
  <bookViews>
    <workbookView xWindow="28680" yWindow="-3630" windowWidth="29040" windowHeight="15720" tabRatio="798" activeTab="9" xr2:uid="{00000000-000D-0000-FFFF-FFFF00000000}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2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<sst xmlns="http://schemas.openxmlformats.org/spreadsheetml/2006/main" count="694" uniqueCount="359">
  <si>
    <t>Dias</t>
  </si>
  <si>
    <t>Item</t>
  </si>
  <si>
    <t>Descrição</t>
  </si>
  <si>
    <t>Atividade</t>
  </si>
  <si>
    <t>Total</t>
  </si>
  <si>
    <t>SE ITABAIANA 230kV 04D1 FUNCIONAL</t>
  </si>
  <si>
    <t>SE ITABAIANA 230kV 04D1 FIAÇÃO</t>
  </si>
  <si>
    <t>SE ITABAIANA 230kV 04C2 FUNCIONAL</t>
  </si>
  <si>
    <t>SE ITABAIANA 230kV 04C2 FIAÇÃO</t>
  </si>
  <si>
    <t>SE ITABAIANA 230kV 04C2 INTERLIGAÇÃO</t>
  </si>
  <si>
    <t>SE ITABAIANA 230kV 04T1 INTERLIGAÇÃO</t>
  </si>
  <si>
    <t>SE GOIAMINHA NÍVEL2 ARQUITETURA GERAL</t>
  </si>
  <si>
    <t>SE ITABAIANA 230kV 04C1 FUNCIONAL</t>
  </si>
  <si>
    <t>Siemens-PG 2900-ITB-Executivo-Elétrico-Setor 230kV--</t>
  </si>
  <si>
    <t>SE ITABAIANA BASTIDOR DE REDE PAINEL 4BR1</t>
  </si>
  <si>
    <t>SE ITABAIANA 230kV 04C1 INTERLIGAÇÃO</t>
  </si>
  <si>
    <t>SE ITABAIANA 230kV 04C1 FIAÇÃO</t>
  </si>
  <si>
    <t>Siemens-PG 4121-GNN-Executivo-Elétrico-Conforme Construído--</t>
  </si>
  <si>
    <t>SE ITABAIANA 230kV 04C3 INTERLIGAÇÃO</t>
  </si>
  <si>
    <t>SE ITABAIANA 230kV 04C3 FUNCIONAL</t>
  </si>
  <si>
    <t>SE GOIAMINHA 230kV 04T3 FIAÇÃO</t>
  </si>
  <si>
    <t>Siemens-PG 3881-PRI-Executivo-Elétrico-Conforme Construído--</t>
  </si>
  <si>
    <t>SE PIRIPIRI 69kV 02J3 FIAÇÃO</t>
  </si>
  <si>
    <t>SE PIRIPIRI 69kV 02T2 INTERLIGAÇÃO</t>
  </si>
  <si>
    <t>SE PIRIPIRI 69kV 02J3 INTERLIGAÇÃO</t>
  </si>
  <si>
    <t>SE ITABAIANA 230kV QRA's</t>
  </si>
  <si>
    <t>SE ITABAIANA 230kV 04T1 FUNCIONAL</t>
  </si>
  <si>
    <t>SE GOIAMINHA 230kV UC PAINEL 4UA16-2</t>
  </si>
  <si>
    <t>SE GOIAMINHA 230kV UC PAINEL 4UA16-1</t>
  </si>
  <si>
    <t>Siemens-PG 4121-RCD-Executivo-Elétrico-Conforme Construído--</t>
  </si>
  <si>
    <t>SE RECIFEII 500kV VÃO C INTERLIGAÇÃO</t>
  </si>
  <si>
    <t>SE RECIFEII 500kV VÃO C FUNCIONAL</t>
  </si>
  <si>
    <t>SE RECIFE II 500kV VÃO C FIAÇÃO</t>
  </si>
  <si>
    <t>SE ITABAIANA 230kV 04T1 FIAÇÃO</t>
  </si>
  <si>
    <t>Interest-Interest-Administrativo-Administrativo------</t>
  </si>
  <si>
    <t>SE ITABAIANA 230kV 04C3 FIAÇÃO</t>
  </si>
  <si>
    <t>SE ITABAIANA 230kV 04S7 INTERLIGAÇÃO</t>
  </si>
  <si>
    <t>SE ITABAIANA 230kV 04S7 FUNCIONAL</t>
  </si>
  <si>
    <t>PRÉ TEILÃO CRATEÚS</t>
  </si>
  <si>
    <t>PRÉ LEILÃO TERESINA IV</t>
  </si>
  <si>
    <t>SE GOIANINHA 230kV UNIDADE DE CONTROLE</t>
  </si>
  <si>
    <t>Siemens-PG 3881-PRI-Executivo-Eletromec.-Conforme Construído--</t>
  </si>
  <si>
    <t>SE PIRIPIRI 230kV 02J3 FIAÇÃO</t>
  </si>
  <si>
    <t>SE PIRIPIRI 230kV 02J3 FUNCIONAL</t>
  </si>
  <si>
    <t>SE ITABAIANA 230kV 04T3 FUNCIONAL</t>
  </si>
  <si>
    <t>PRÉ LEILÃO SÃO JOÃO DO PARAÍSO</t>
  </si>
  <si>
    <t>Hersa-Eunapolis BC_REA-SE Eunápolis-Executivo-Elétrico-Diagrama de Interligação--</t>
  </si>
  <si>
    <t>SE EUNÁPOLIS 230kV VÃO J INTERLIGAÇÃO</t>
  </si>
  <si>
    <t>SE ITABAIANA 230kV 04D1 INTERLIGAÇÃO</t>
  </si>
  <si>
    <t>SE ITABAIANA 230kV 04T3 INTERLIGAÇÃO</t>
  </si>
  <si>
    <t>PRÉ LEILÃO  SE PIRIPIRI</t>
  </si>
  <si>
    <t>SE GONHANINHA 230kV 04F4 CONFORME</t>
  </si>
  <si>
    <t>SE GONHANINHA 230kV 04F2 CONFORME</t>
  </si>
  <si>
    <t>Siemens-PG 4121-GNN-Executivo-Elétrico-Setor 230kV--</t>
  </si>
  <si>
    <t>SE GONHANINHA 230kV 04C7 INTERLIGAÇÃO</t>
  </si>
  <si>
    <t>Hersa-Poções II e Igaporã II-SE Porções II-Executivo-Elétrica-Diagrama Unifilar de Proteção e Controle--</t>
  </si>
  <si>
    <t>SE PORÇÕES II UNIFILAR</t>
  </si>
  <si>
    <t>SE GONHANINHA 69kV 02D1 CONFORME</t>
  </si>
  <si>
    <t>SE EUNAPOLIS 138kV VÃO H INTERLIGAÇÃO</t>
  </si>
  <si>
    <t>SE EUNAPOLIS 138kV VÃO F INTERLIGAÇÃO</t>
  </si>
  <si>
    <t>Siemens-PG 3881-PRI-Executivo-Elétrico-Setor 69kV--</t>
  </si>
  <si>
    <t>SE PIRIPIRI 69kV 02J3 FUNCIONAL</t>
  </si>
  <si>
    <t>Siemens-PG 2900-ITB-Executivo-Elétrico-Setor 69kV--</t>
  </si>
  <si>
    <t>SE ITABAIANA 69kV 02J6 FUNCIONAL</t>
  </si>
  <si>
    <t>SE ITABAIANA 69kV 02T2 FUNCIONAL</t>
  </si>
  <si>
    <t>SE EUNAPOLIS 230kV 04N6 INTERLIGAÇÃO</t>
  </si>
  <si>
    <t>SE EUNAPOLIS 230kV 04T1 INTERLIGAÇÃO</t>
  </si>
  <si>
    <t>SE ITABAIANA 69kV 02J6 INTERLIGAÇÃO</t>
  </si>
  <si>
    <t>SE ITABAIANA 69kV 02J8 FIAÇÃO</t>
  </si>
  <si>
    <t>SE ITABAIANA 69kV 02J8 FUNCIONAL</t>
  </si>
  <si>
    <t>SE ITABAIANA 230kV 04T2 FIAÇÃO</t>
  </si>
  <si>
    <t xml:space="preserve">PRÉ LEILÃO SÃO JOÃO DO PIAUÍ </t>
  </si>
  <si>
    <t>SE ITABAIANA 230kV 04T2 INTERLIGAÇÃO</t>
  </si>
  <si>
    <t>SE EUNÁPOLIS 138kV INTERLIGAÇÃO</t>
  </si>
  <si>
    <t>PRÉ LEILÃO SE PACATUBA</t>
  </si>
  <si>
    <t>PRÉ LEILÃO SE JUSSIAPE</t>
  </si>
  <si>
    <t>PRÉ LEILÃO SE QUIXADÁ</t>
  </si>
  <si>
    <t>PRÉ LEILÃO SE MORADA NOVA</t>
  </si>
  <si>
    <t>PRÉ LEILÃO SE BOM NOME</t>
  </si>
  <si>
    <t>PRÉ LEILÃO SE OLINDINA</t>
  </si>
  <si>
    <t>PRÉ LEILÃO SE ZEBU</t>
  </si>
  <si>
    <t>PRÉ LEILÃO SE IBIAPINA</t>
  </si>
  <si>
    <t>PRÉ LEILÃO SE PILÕES</t>
  </si>
  <si>
    <t>PRÉ LEILÃO SE MILAGRES</t>
  </si>
  <si>
    <t>PRÉ LEILÃO SE MESSIAS</t>
  </si>
  <si>
    <t>PRÉ LEILÃO SE GARANHUNS</t>
  </si>
  <si>
    <t>PRÉ LEILÃO SE CRATO</t>
  </si>
  <si>
    <t>Siemens-PG 3881-MSD-Executivo-Elétrico-Setor 230kV--</t>
  </si>
  <si>
    <t>SE MOSSORÓ II 230kV 04T1 FUNCIONAL</t>
  </si>
  <si>
    <t>SE ITABAIANA 69kV 02J7 FIAÇÃO</t>
  </si>
  <si>
    <t>SE ITABAIANA 69kV 02J7 FUNCIONAL</t>
  </si>
  <si>
    <t>SE ITABAIANA 69kV 02J3 FUNCIONAL</t>
  </si>
  <si>
    <t>PRÉ LEILÃO SE IBICOARA</t>
  </si>
  <si>
    <t>PRÉ LEILÃO SE AÇU</t>
  </si>
  <si>
    <t>PRÉ LEILÃO SE CURRAL NOVO DO PIAUÍ</t>
  </si>
  <si>
    <t>SE ITABAIANA 69kV 02J7 INTERLIGAÇÃO</t>
  </si>
  <si>
    <t>All Energy-SE Ibicoara-SE Ibicoara EL 138 kV-Executivo-Elétrica-Diagrama de Interligação  138kV--</t>
  </si>
  <si>
    <t>SE IBICOARA 138kV VÃO G</t>
  </si>
  <si>
    <t xml:space="preserve">PRÉ-LEILÃO LOTE 6 </t>
  </si>
  <si>
    <t>PRÉ-LEILÃO LOTE 5</t>
  </si>
  <si>
    <t>PRÉ-LEILÃO LOTE 4</t>
  </si>
  <si>
    <t>PRÉ-LEILÃO LOTE 3</t>
  </si>
  <si>
    <t>PRÉ-LEILÃO LOTE 2</t>
  </si>
  <si>
    <t>PRÉ-LEILÃO LOTE 1</t>
  </si>
  <si>
    <t>SE ITABAIANA 02J7 INTERLIGAÇÃO</t>
  </si>
  <si>
    <t>SE ITABAIANA 02J3 INTERLIGAÇÃO</t>
  </si>
  <si>
    <t>SE ITABAIANA 02J1 FUNCIONAL</t>
  </si>
  <si>
    <t>SE ITABAIANA 69kV 02A1 FUNCIONAL</t>
  </si>
  <si>
    <t>SE GONHANINHA 69kV 02T1 FUNCIONAL</t>
  </si>
  <si>
    <t>SE GONHANINHA 69kV 02T2 FUNCIONAL</t>
  </si>
  <si>
    <t>SE ITABAIANA 69kV 02W1 INTERLIGAÇÃO</t>
  </si>
  <si>
    <t>Siemens-PG 4121-GNN-Executivo-Elétrico-Setor 69kV--</t>
  </si>
  <si>
    <t>All Energy-SE Ibicoara-SE Ibicoara EL 138 kV-Executivo-Elétrica-Diagramas Funcionais e lógicos 138 kV--</t>
  </si>
  <si>
    <t>SE CAMPINA GRANDE II 69kV FUNCIONAL</t>
  </si>
  <si>
    <t>SE CAMPINA GRANDE II 69kV INTERLIGAÇÃO</t>
  </si>
  <si>
    <t>Siemens-PG 1023-MSR-Executivo-Elétrico-Setor 69kV--</t>
  </si>
  <si>
    <t xml:space="preserve">SE MUSURÉ II 69kV 02J1 INTERLIGAÇÃO </t>
  </si>
  <si>
    <t>SE MUSURÉ II 69kV 02J1 FUNCINAL</t>
  </si>
  <si>
    <t>TALDI-SEs Natal III e Paraíso-SE Natal III-Executivo-Elétrica-Diagramas Funcionais Serviços Auxiliares--</t>
  </si>
  <si>
    <t>Hersa-Poções II e Igaporã II-SE Igaporã II-Executivo-Elétrica-Diagrama Unifilar de Serviços Auxiliares--</t>
  </si>
  <si>
    <t>Treinamento Eletron</t>
  </si>
  <si>
    <t>SE NATAL III PARAISO SERVIÇO AUXILIAR CA</t>
  </si>
  <si>
    <t>SE PORÇÕES II DIAGRAMA UNIFILAR SERVIÇO AUXILIAR</t>
  </si>
  <si>
    <t>Siemens-PG 1023-MSR-Executivo-Elétrico-Setor 230kV--</t>
  </si>
  <si>
    <t>SE MUSSURÉ II 230kV 04T1 FUNCIONAL</t>
  </si>
  <si>
    <t>Hersa-Poções II e Igaporã II-SE Porções II-Executivo-Elétrica-Diagrama de Interligação--</t>
  </si>
  <si>
    <t>FUNCIONAL FICTICIO PORÇÕES</t>
  </si>
  <si>
    <t>SE MUSURÉ II 69kV 02T5 FUNCINAL</t>
  </si>
  <si>
    <t>FUNCIONAL FICTICIO COLINAS</t>
  </si>
  <si>
    <t>SIEMENS-BCS Colinas e Imperatriz-SE Colinas-Executivo-Elétrico-Diagramas de Interligação de SPCS--</t>
  </si>
  <si>
    <t>Chesf-Pré Leilão 01_2024-Lote 1-Básico-Elétrico-Unifilar de Proteção--</t>
  </si>
  <si>
    <t>Chesf-Pré Leilão 01_2024-Lote 2-Básico-Elétrico-Unifilar de Proteção--</t>
  </si>
  <si>
    <t>Chesf-Pré Leilão 01_2024-Lote 3-Básico-Elétrico-Unifilar de Proteção--</t>
  </si>
  <si>
    <t>Chesf-Pré Leilão 01_2024-Lote 4-Básico-Elétrico-Unifilar de Proteção--</t>
  </si>
  <si>
    <t>Chesf-Pré Leilão 01_2024-Lote 5-Básico-Elétrico-Unifilar de Proteção--</t>
  </si>
  <si>
    <t>Chesf-Pré Leilão 01_2024-Lote 6-Básico-Elétrico-Unifilar de Proteção--</t>
  </si>
  <si>
    <t>TALDI-SEs Natal III e Paraíso-SE Paraíso-Executivo-Elétrica-Diagrama de Interligação de Serviços Auxiliares--</t>
  </si>
  <si>
    <t>SE PARAÍSO NATAL 230kV SERVIÇO AUXILIAR</t>
  </si>
  <si>
    <t>SE AÇU 69kV 04T5 FIAÇÃO</t>
  </si>
  <si>
    <t>Siemens-PG 1023-ACD-Executivo-Elétrico-Setor 69kV--</t>
  </si>
  <si>
    <t>SE AÇU 69kV 04T5 INTERLIGAÇÃO</t>
  </si>
  <si>
    <t>SE AÇU II69KV 02T4 FUNCIONAL</t>
  </si>
  <si>
    <t>SE AÇU II69KV 02F4 FUNCIONAL</t>
  </si>
  <si>
    <t>SE AÇU II 138kV 03C2 FUNCIONAL</t>
  </si>
  <si>
    <t>SE AÇU II 138kV 03C2 INTERLIGAÇÃO</t>
  </si>
  <si>
    <t>SE AÇU II 138kV 03C2 FIAÇÃO</t>
  </si>
  <si>
    <t>SE AÇU II 69kV 02F4 INTERLIGAÇÃO</t>
  </si>
  <si>
    <t>SE AÇU II 69kV 02T4 INTERLIGAÇÃO</t>
  </si>
  <si>
    <t>SE AÇU II 69kV 02F5 FUNCIONAL</t>
  </si>
  <si>
    <t>SE AÇU II 69kV 02F5 INTERLIGAÇÃO</t>
  </si>
  <si>
    <t>SE AÇU II 69kV 02F5 FIAÇÃO</t>
  </si>
  <si>
    <t>SE CAMPINA GRANDE II 69kV 02A1 FUNCIONAL</t>
  </si>
  <si>
    <t>SE CAMPINA GRANDE II 69kV 02A2 FUNCIONAL</t>
  </si>
  <si>
    <t>SE AÇU 230kV 04L2 INTERLIGAÇÃO</t>
  </si>
  <si>
    <t>SE AÇU 230kV 04L2 FUNCIONAL</t>
  </si>
  <si>
    <t>SE AÇU 69kV - 02D1 FIAÇÃO</t>
  </si>
  <si>
    <t>SE AÇU 230kV 04T2 FUNCIONAL</t>
  </si>
  <si>
    <t>SE AÇU 230kV 04T2 FIAÇÃO</t>
  </si>
  <si>
    <t>SE AÇU 230kV 04T2 INTERLIGAÇÃO</t>
  </si>
  <si>
    <t>SE CAMPINA GRANDE 69kV 02J6</t>
  </si>
  <si>
    <t>SE AÇU 230kV 04T5 FUNCIONAL</t>
  </si>
  <si>
    <t>SE AÇU 230kV 04T5 INTERLIGAÇÃO</t>
  </si>
  <si>
    <t>SE AÇU 230kV 04T5 FIAÇÃO</t>
  </si>
  <si>
    <t>SE AÇU 230kV 04T4 FUNCIONAL</t>
  </si>
  <si>
    <t>SE AÇU 230kV 04T4 FIAÇÃO</t>
  </si>
  <si>
    <t>SE AÇU 230kV 04T4 INTERLIGAÇÃO</t>
  </si>
  <si>
    <t>SE GOIANINHA 69kV INTERLIGAÇÃO</t>
  </si>
  <si>
    <t>SE AÇU II 69kV 02T5 FUNCIONAL</t>
  </si>
  <si>
    <t>SE AÇU II 230kV 04D1 FUNCIONAL</t>
  </si>
  <si>
    <t>SE AÇU II 69kV 02T4 FUNCIONAL</t>
  </si>
  <si>
    <t>SE AÇU II 69kV 02T5 INTERLIGAÇÃO</t>
  </si>
  <si>
    <t>SE AÇU II 69kV 02T4 FIAÇÃO</t>
  </si>
  <si>
    <t>SE AÇU II 69kV 02A1 INTERLIGAÇÃO</t>
  </si>
  <si>
    <t>SE AÇU II 69kV 02A1 FIAÇÃO</t>
  </si>
  <si>
    <t>SE CAMPINA GRANDE II 69kV 02A2 FIAÇÃO</t>
  </si>
  <si>
    <t>CHESF-SE Campina Grande II_69 kV-CGD - Secc. da barra de 69 kV e inst. De TP-Executivo-Elétrico-Diagramas Funcionais--</t>
  </si>
  <si>
    <t>SE AÇU II 69kV 02A1 FUNCIONAL</t>
  </si>
  <si>
    <t>SE ITABAIANA 69kV 02D1</t>
  </si>
  <si>
    <t>SE ITABAIANA 69kV 02J1 INTERLIGAÇÃO</t>
  </si>
  <si>
    <t>SE ITABAIANA 69kV 02J3 INTERLIGAÇÃO</t>
  </si>
  <si>
    <t>SE ITABAIANA 69kV 02W1 FUNCIONA</t>
  </si>
  <si>
    <t>SIEMENS-BCS Colinas e Imperatriz-SE Colinas-Executivo-Elétrico-Diagramas Unifilares de Serviços Auxiliares--</t>
  </si>
  <si>
    <t>SE COLINAS SERVIÇO AUXILIAR CC FUNCIONAL FICTICIO</t>
  </si>
  <si>
    <t>SE EUNAPOLES 230kV 04N1 INTERLIGAÇÃO</t>
  </si>
  <si>
    <t>SE EUNAPOLES 230kV 04N2 INTERLIGAÇÃO</t>
  </si>
  <si>
    <t>Cobra Brasil-SE Campos 2-CP2-Executivo-Elétrico-Conforme Construído--</t>
  </si>
  <si>
    <t>SE COBRA 500kV VÃO HX INTERLIGAÇÃO</t>
  </si>
  <si>
    <t>SE COBRA 500kV VÃO GX INTERLIGAÇÃO</t>
  </si>
  <si>
    <t>SE AÇU II NÍVEL 2</t>
  </si>
  <si>
    <t>LEILÃO ANEEL</t>
  </si>
  <si>
    <t>SE AÇU II 230kV 04D1 INTERLIGAÇÃO</t>
  </si>
  <si>
    <t>CHESF-SE Campina Grande II_69 kV-CGD - Secc. da barra de 69 kV e inst. De TP-Executivo-Elétrico-Diagrama de Interligação--</t>
  </si>
  <si>
    <t>SE AÇU II 230kV 04D1 FIAÇÃO</t>
  </si>
  <si>
    <t>Siemens-PG 4121-RLD-Executivo-Elétrico-Setor 230kV--</t>
  </si>
  <si>
    <t>SE RIO LARGO 230kV 04T1</t>
  </si>
  <si>
    <t>SE RIO LARGO 230kV 04T3</t>
  </si>
  <si>
    <t>SE ITABAIANA 69kV 02J8 INTERLIGAÇÃO</t>
  </si>
  <si>
    <t>SE CAMPINA GRANDE 69kV 02T5</t>
  </si>
  <si>
    <t>SE EUNAPOLIS 230kV 04N1 INTERLIGAÇÃO</t>
  </si>
  <si>
    <t>Hersa-Poções II e Igaporã II-SE Igaporã II-Executivo-Elétrica-Diagrama de Interligação Serviços Auxiliares--</t>
  </si>
  <si>
    <t>SE PORÇÕES II 230kV 4UA8 INTERLIGAÇÃO</t>
  </si>
  <si>
    <t>SE PORÇÕES II SERVIÇO AUXILIAR</t>
  </si>
  <si>
    <t>SE CAMPINA GRANDE II 69kV VÃO T</t>
  </si>
  <si>
    <t>SE CAMPINA GRANDE II 69kV 02J7</t>
  </si>
  <si>
    <t>SE CAMPINA GRANDE II 69kV 02N1</t>
  </si>
  <si>
    <t>Siemens-PG 3881-SJI-Executivo-Elétrico-Setor 500kV--</t>
  </si>
  <si>
    <t>SE SÃO JOÃO DO PIAUÍ</t>
  </si>
  <si>
    <t>Siemens-PG 4121-TAC-Executivo-Elétrico-Setor 230kV--</t>
  </si>
  <si>
    <t>SE TACAIMBÓ 230kV 04T1</t>
  </si>
  <si>
    <t>SE CAMPINA GRANDE II 69kV VÃO PCPG</t>
  </si>
  <si>
    <t>SE CAMPINA GRANDE II 69kV 02A1</t>
  </si>
  <si>
    <t>SE AÇU II 230kV 04T3 FUNCIONAL</t>
  </si>
  <si>
    <t>Siemens-PG 1023-MSR-Executivo-Elétrico-Serv. Auxiliares--</t>
  </si>
  <si>
    <t>SE MUSSURÉ II SERVIÇOS AUXILIARES</t>
  </si>
  <si>
    <t>Siemens-PG 3881-DMG-Executivo-Elétrico-Setor 230kV--</t>
  </si>
  <si>
    <t>SE DELMIRO GOVEIA 230kV 04F4</t>
  </si>
  <si>
    <t>Power China-UFV Mauriti-SE Mauriti-Executivo-Elétrico-Unifilares de Serviços Auxiliares--</t>
  </si>
  <si>
    <t>SE MAURITÍ SERVIÇOS AUXILIARES</t>
  </si>
  <si>
    <t>SE MUSURÉ 69kV 02J2</t>
  </si>
  <si>
    <t>Siemens-PG 2900-CTG-Executivo-Elétrico-Conforme Construído--</t>
  </si>
  <si>
    <t>SE DELMIRO GOVEIA 230kV 04F5</t>
  </si>
  <si>
    <t>SE MUSURÉ 69kV 02T1</t>
  </si>
  <si>
    <t>SE COTEGIPE CONFORME CONSTRUÍDO</t>
  </si>
  <si>
    <t>SE MUSURÉ 69kV 02T3</t>
  </si>
  <si>
    <t>SE MUSURÉ 230kV 04T1</t>
  </si>
  <si>
    <t>SE MUSURÉ 230kV 04T2</t>
  </si>
  <si>
    <t>SE MUSURÉ 69kV 02T2</t>
  </si>
  <si>
    <t>Siemens-PG 4121-TAC-Executivo-Elétrico-Setor 69kV--</t>
  </si>
  <si>
    <t>SE TACAIMBÓ 69kV 02T1</t>
  </si>
  <si>
    <t>SE MUSSURÉ 230kV 04D1</t>
  </si>
  <si>
    <t>SE MUSSURÉ 69kV 02A1</t>
  </si>
  <si>
    <t>SE DELMIRO GOUVEIA 230kV 04F4</t>
  </si>
  <si>
    <t>SE MUSSURÉ 230kV 04F1</t>
  </si>
  <si>
    <t>SE MUSSURÉ 69kV 02T5</t>
  </si>
  <si>
    <t>SE MUSSURÉ 69kV 02T2</t>
  </si>
  <si>
    <t>SE MUSSURÉ 69kV 02T3</t>
  </si>
  <si>
    <t>SE MUSSURÉ 230kV 04F2</t>
  </si>
  <si>
    <t>Hersa-Eunapolis BC_REA-SE Eunápolis-Executivo-Elétrico-Diagrama Unifilar de Serviços Auxiliares--</t>
  </si>
  <si>
    <t>SE PORÇÕES II SERVIÇOS AUXILIARES</t>
  </si>
  <si>
    <t>SE TACAIMBÓ 69kV 02V2</t>
  </si>
  <si>
    <t>SE MUSSURÉ II 69kV 02J2</t>
  </si>
  <si>
    <t>Siemens-PG 1023-ACD-Executivo-Elétrico-Serv. Auxiliares--</t>
  </si>
  <si>
    <t>SE AÇU II SERVIÇO AUXILIAR</t>
  </si>
  <si>
    <t>SE TACAIMBÓ 230kV 04C1</t>
  </si>
  <si>
    <t>SE TACAIMBÓ 69kV 02T5</t>
  </si>
  <si>
    <t>MANUTENÇÃO SERVIDOR</t>
  </si>
  <si>
    <t>SE DELMIRO GOLVEIA UNIDADE DE CONTROLE</t>
  </si>
  <si>
    <t>SE MUSSURÉ II 230kV 04T1</t>
  </si>
  <si>
    <t>SE TACAIMBÓ 69kV 02V1</t>
  </si>
  <si>
    <t>Siemens-PG 3881-FTZ-Executivo-Elétrico-Setor 230kV--</t>
  </si>
  <si>
    <t>SE FORTALEZA 230kV 04T2</t>
  </si>
  <si>
    <t>ANIVERSÁRIO INTEREST</t>
  </si>
  <si>
    <t>Siemens-PG 4121-AGD-Executivo-Elétrico-Setor 500kV--</t>
  </si>
  <si>
    <t>SE ANGELIM II 500kV 05L6/05L9</t>
  </si>
  <si>
    <t>SE FORTALEZA 230kV 04T3</t>
  </si>
  <si>
    <t>SE FORTALEZA 230kV 04T1</t>
  </si>
  <si>
    <t>SE FORTALEZA 230kV 04T4</t>
  </si>
  <si>
    <t>SE TACAIMBÓ 230kV 04D1</t>
  </si>
  <si>
    <t>Angelim - 05L5/05D2/05L3</t>
  </si>
  <si>
    <t>Siemens-PG 4121-MRR-Executivo-Elétrico-Setor 69kV--</t>
  </si>
  <si>
    <t>SE MIRUEIRA 69kV 02A2</t>
  </si>
  <si>
    <t>Siemens-PG 3881-DMG-Executivo-Elétrico-Setor 69kV--</t>
  </si>
  <si>
    <t>SE DELMIRO GOUVEIA 69kV 02T5</t>
  </si>
  <si>
    <t>Siemens-PG 4121-TAC-Executivo-Elétrico-Serv. Auxiliares--</t>
  </si>
  <si>
    <t>SE TACAIMBÓ SERVIÇO AUXILIAR</t>
  </si>
  <si>
    <t>SE TACAIMBÓ 230kV 04M6</t>
  </si>
  <si>
    <t>SE TACAIMBÓ 230kV 04M5</t>
  </si>
  <si>
    <t>SE TACAIMBÓ 230kV 04M4</t>
  </si>
  <si>
    <t>Power China-UFV Mauriti-SE Mauriti-Executivo-Elétrico-Disposição das Aparelhagens--</t>
  </si>
  <si>
    <t>SE MAURITI DISPOSIÇÃO DE APARELHAGEM</t>
  </si>
  <si>
    <t>SE TACAIMBÓ 69kV 02A2</t>
  </si>
  <si>
    <t>Siemens-PG 3881-MSD-Executivo-Elétrico-Setor 69kV--</t>
  </si>
  <si>
    <t>SE MOSSORÓ 69kV 02J4</t>
  </si>
  <si>
    <t>SE TACAIMBÓ 230kV 04T3</t>
  </si>
  <si>
    <t>SE MOSSORÓ 69kV 02S2</t>
  </si>
  <si>
    <t>SE MOSSORÓ 69kV 02J2</t>
  </si>
  <si>
    <t>SE TACAIMBÓ SERVIÇOS AUXILIARES</t>
  </si>
  <si>
    <t>SE DELMIRO GOUVEIA 230kV 04T2</t>
  </si>
  <si>
    <t>SE DELMIRO GOUVEIA 230kV 04T3</t>
  </si>
  <si>
    <t>GE GRID-CE Serra do Tigre-SE Santa Luzia II-Executivo-Eletromec.-Conforme Construído--</t>
  </si>
  <si>
    <t>SE SERRA DO TIGRE 500kV CAIXA DE JUNÇÃO DE TCs</t>
  </si>
  <si>
    <t>SE DELMIRO GOUVEIA 230kV 04D1</t>
  </si>
  <si>
    <t>SE TACAIMBÓ 13,8kV 01T5</t>
  </si>
  <si>
    <t>Neoenergia-Lote II-Lagos-Executivo-Elétrico-Conforme Construído--</t>
  </si>
  <si>
    <t>SE LAGOS CONFORME</t>
  </si>
  <si>
    <t>Neoenergia-Lote III-Mutum-Executivo-Elétrico-Conforme Construído--</t>
  </si>
  <si>
    <t>SE FORTALEZA I 230kV 04F1</t>
  </si>
  <si>
    <t>SE FORTALEZA I 230kV 04E5</t>
  </si>
  <si>
    <t>SE FORTALEZA I 230kV 04F3</t>
  </si>
  <si>
    <t>SIEMENS-BCS Colinas e Imperatriz-SE Imperatriz-Executivo-Elétrico-Diagramas de Interligação de SPCS--</t>
  </si>
  <si>
    <t>SE COLINAS 500kV VÃO B</t>
  </si>
  <si>
    <t>SE FORTALEZA 230kV 04Z4</t>
  </si>
  <si>
    <t>SE MUTUM CONFORME</t>
  </si>
  <si>
    <t>Siemens-PG 3881-DMG-Executivo-Elétrico-Serv. Auxiliares--</t>
  </si>
  <si>
    <t>SE DELMIRO GOUVEIA SERVIÇOS AUXILIARES</t>
  </si>
  <si>
    <t>Chesf-Reatores 500 kV_Projeto Básico e TRs-SE Imperatriz-Básico-Elétrico-Levantamento de Campo--</t>
  </si>
  <si>
    <t>CROQUI DISPOSIÇÃO DOS PAINEIS</t>
  </si>
  <si>
    <t>Chesf-Reatores 500 kV_Projeto Básico e TRs-SE Teresina II-Básico-Elétrico-Arquitetura de Rede--</t>
  </si>
  <si>
    <t>SE TEREZINA II ARQUITETURA SIMPLIFICADA</t>
  </si>
  <si>
    <t>Power China-UFV Mauriti-SE Mauriti-Executivo-Elétrico-Serviços Auxiliares--</t>
  </si>
  <si>
    <t>SE MAURITI SERVIÇOS AUXILIARES</t>
  </si>
  <si>
    <t>SE DELMIRO GOLVEIA 230kV 04H1</t>
  </si>
  <si>
    <t>SE FORTALEZA 230kV 04D1</t>
  </si>
  <si>
    <t>SE FORTALEZA 230kV 04Z6</t>
  </si>
  <si>
    <t>TREINAMENTO LGPD</t>
  </si>
  <si>
    <t>Chesf-Reatores 500 kV_Projeto Básico e TRs-SE Presidente Dutra-Básico-Elétrico-Disposição das Aparelhagens--</t>
  </si>
  <si>
    <t>PRESIDENTE DUTRA ARQUITETURA DIGITAL</t>
  </si>
  <si>
    <t>Siemens-PG 3881-CMA-Executivo-Elétrico-Conforme Construído--</t>
  </si>
  <si>
    <t>GE GRID-CS Arinos-S Arinos-Executivo-Eletromec.-Cx. De Ligação de TPs, TCs e Caixa de distribuição--</t>
  </si>
  <si>
    <t>SE ARINOS CAIXAS TP_TC CONFORME</t>
  </si>
  <si>
    <t>SE COREMAS CONFORME</t>
  </si>
  <si>
    <t>Hersa-Eunapolis BC_REA-SE Eunápolis-Executivo-Elétrico-Conforme Construído--</t>
  </si>
  <si>
    <t>SE EUNAPOLIS 230kV CONFORME</t>
  </si>
  <si>
    <t>DIGITALIZAÇÃO</t>
  </si>
  <si>
    <t>SE COREMAS 69kV CONFORME CONSTRUÍDO</t>
  </si>
  <si>
    <t>SE IMPERATRIZ 500kV VÃO EX FUNCIONAL FICTÍCIO</t>
  </si>
  <si>
    <t>PALESTRA TGI</t>
  </si>
  <si>
    <t>SE FORTALEZA 230kV 34BP-1</t>
  </si>
  <si>
    <t>Siemens-PG 1023-CGD-Executivo-Eletromec.-Conforme Construído--</t>
  </si>
  <si>
    <t>SE CAMPINA GRANDE CONFORME</t>
  </si>
  <si>
    <t>SE GOVERNADOR MANGABEIRA CONFORME</t>
  </si>
  <si>
    <t>Siemens-PG 2900-GVM-Executivo-Eletromec.-Conforme Construído--</t>
  </si>
  <si>
    <t>SE IMPERATRIZ 500kV VÃO E</t>
  </si>
  <si>
    <t>Chesf-Reatores 500 kV_Projeto Básico e TRs-SE Presidente Dutra-Básico-Elétrico-Arquitetura de Rede--</t>
  </si>
  <si>
    <t>SE PRESIDENTE DUTRA 500kV ARQUITETURA DIGITAL</t>
  </si>
  <si>
    <t>SE IMPERATRIZ SERVIÇO AUXILIAR</t>
  </si>
  <si>
    <t>Siemens-PG 2900-GVM-Executivo-Elétrico-Conforme Construído--</t>
  </si>
  <si>
    <t>SE GOVERNADOR MANGABEIRA 69kV CONFORME</t>
  </si>
  <si>
    <t>TALDI-SEs Natal III e Paraíso-SE Natal III-Executivo-Elétrica-Conforme Construído--</t>
  </si>
  <si>
    <t>SE NATAL III CONFORME</t>
  </si>
  <si>
    <t>Grantel-UFV Irecê-SE Irecê-Executivo-Elétrico-Disposição das Aparelhagens--</t>
  </si>
  <si>
    <t>SE IRECÊ APARELHAGEM CASA RELÉS</t>
  </si>
  <si>
    <t>SE EUNÁPOLES 230kV</t>
  </si>
  <si>
    <t>SE EUNAPOLIS CONFORME CONSTRUÍDO</t>
  </si>
  <si>
    <t>Interest-Interest-Reunião-Administrativo------</t>
  </si>
  <si>
    <t>PALESTRA INTEREST EM MOVIMENTO</t>
  </si>
  <si>
    <t>SE IMPERATRIZ SERVIÇOS AUXILIARES</t>
  </si>
  <si>
    <t>SE EUNÁPOLIS CONFORME</t>
  </si>
  <si>
    <t>SE EUNÁPOLIS 230kV VÃO B</t>
  </si>
  <si>
    <t>Chesf-Reatores 500 kV_Projeto Básico e TRs-SE Imperatriz-Básico-Elétrico-Arquitetura de Rede--</t>
  </si>
  <si>
    <t>SE IMPERATRIZ ARQUITETURA DIGITAL</t>
  </si>
  <si>
    <t>Chesf-Reatores 500 kV_Projeto Básico e TRs-SE Presidente Dutra-Básico-Elétrico-Diagrama Esquemático--</t>
  </si>
  <si>
    <t>SE PRESIDENTE DUTRA DIAGRAMA ESQUEMÁTICO</t>
  </si>
  <si>
    <t>Chesf-Reatores 500 kV_Projeto Básico e TRs-SE Imperatriz-Básico-Elétrico-Diagrama Esquemático--</t>
  </si>
  <si>
    <t>SE IMPERATRIZ DIAGRAMA ESQUEMÁTICO</t>
  </si>
  <si>
    <t>SE EUNÁPOLIS 230kV VÃO H</t>
  </si>
  <si>
    <t>SE EUNÁPOLIS 230kV VÃO D</t>
  </si>
  <si>
    <t>Siemens-PG 3881-MSD-Executivo-Elétrico-Conforme Construído--</t>
  </si>
  <si>
    <t>SE MOSSORÓ II CONFORME</t>
  </si>
  <si>
    <t>Omexom-CGE Babilônia Centro-SE Ourolândia II-Executivo-Elétrico-Diagramas de Interligação de SPCS--</t>
  </si>
  <si>
    <t>SE OUROLÂNDIA II 500kV PROTEÇÃO DE BARRA B2</t>
  </si>
  <si>
    <t>SE ARINOS CAIXAS DE PÁTIO</t>
  </si>
  <si>
    <t>SE MUTUM 500kV</t>
  </si>
  <si>
    <t>Siemens-PG 2900-CTU-Executivo-Elétrico-Conforme Construído--</t>
  </si>
  <si>
    <t>SE PITUAÇU  CONFORME</t>
  </si>
  <si>
    <t xml:space="preserve">Folgas </t>
  </si>
  <si>
    <t>Omexom-CGE Babilônia Centro-SE Babilônia Centro-Executivo-Elétrico-Conforme Contruído--</t>
  </si>
  <si>
    <t>CAIXA DE PÁTIO</t>
  </si>
  <si>
    <t>DISPOSIÇÃO DE APARELHAGEM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</si>
</sst>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9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0" fontId="2" fillId="4" borderId="22" xfId="1" applyFill="1" applyBorder="1" applyAlignment="1" applyProtection="1">
      <alignment horizontal="left" vertical="center"/>
      <protection locked="0"/>
    </xf>
    <xf numFmtId="0" fontId="9" fillId="0" borderId="0" xfId="0" applyFont="1" applyProtection="1"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1400175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1393825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zoomScale="85" zoomScaleNormal="85" workbookViewId="0">
      <pane xSplit="3" topLeftCell="T1" activePane="topRight" state="frozen"/>
      <selection pane="topRight" activeCell="B32" sqref="B32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13</v>
      </c>
      <c r="C7" s="15" t="s">
        <v>5</v>
      </c>
      <c r="D7" s="13"/>
      <c r="E7" s="5">
        <v>0.8</v>
      </c>
      <c r="F7" s="5"/>
      <c r="G7" s="5"/>
      <c r="H7" s="5"/>
      <c r="I7" s="5"/>
      <c r="J7" s="5"/>
      <c r="K7" s="5"/>
      <c r="L7" s="5"/>
      <c r="M7" s="5"/>
      <c r="N7" s="5">
        <v>0.9</v>
      </c>
      <c r="O7" s="5">
        <v>1.4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3.1</v>
      </c>
    </row>
    <row r="8" spans="1:35" x14ac:dyDescent="0.3">
      <c r="A8" s="26">
        <v>2</v>
      </c>
      <c r="B8" s="9" t="s">
        <v>13</v>
      </c>
      <c r="C8" s="9" t="s">
        <v>6</v>
      </c>
      <c r="D8" s="7"/>
      <c r="E8" s="7">
        <v>2.1</v>
      </c>
      <c r="F8" s="7"/>
      <c r="G8" s="7"/>
      <c r="H8" s="7"/>
      <c r="I8" s="7"/>
      <c r="J8" s="7"/>
      <c r="K8" s="7"/>
      <c r="L8" s="7"/>
      <c r="M8" s="7"/>
      <c r="N8" s="7"/>
      <c r="O8" s="7">
        <v>0.4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2.5</v>
      </c>
    </row>
    <row r="9" spans="1:35" x14ac:dyDescent="0.3">
      <c r="A9" s="26">
        <v>3</v>
      </c>
      <c r="B9" s="9" t="s">
        <v>13</v>
      </c>
      <c r="C9" s="9" t="s">
        <v>12</v>
      </c>
      <c r="D9" s="7"/>
      <c r="E9" s="7">
        <v>0.9</v>
      </c>
      <c r="F9" s="7">
        <v>0.7</v>
      </c>
      <c r="G9" s="7">
        <v>2.5</v>
      </c>
      <c r="H9" s="7">
        <v>1.1000000000000001</v>
      </c>
      <c r="I9" s="7"/>
      <c r="J9" s="7"/>
      <c r="K9" s="7">
        <v>0.3</v>
      </c>
      <c r="L9" s="7">
        <v>0.8</v>
      </c>
      <c r="M9" s="7">
        <v>1.2</v>
      </c>
      <c r="N9" s="7">
        <v>1.1000000000000001</v>
      </c>
      <c r="O9" s="7">
        <v>0.2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8.7999999999999989</v>
      </c>
    </row>
    <row r="10" spans="1:35" x14ac:dyDescent="0.3">
      <c r="A10" s="26">
        <v>4</v>
      </c>
      <c r="B10" s="9" t="s">
        <v>13</v>
      </c>
      <c r="C10" s="9" t="s">
        <v>7</v>
      </c>
      <c r="D10" s="7"/>
      <c r="E10" s="7">
        <v>1.1000000000000001</v>
      </c>
      <c r="F10" s="7">
        <v>1.3</v>
      </c>
      <c r="G10" s="7">
        <v>1.1000000000000001</v>
      </c>
      <c r="H10" s="7"/>
      <c r="I10" s="7"/>
      <c r="J10" s="7"/>
      <c r="K10" s="7"/>
      <c r="L10" s="7"/>
      <c r="M10" s="7"/>
      <c r="N10" s="7">
        <v>0.8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4.3000000000000007</v>
      </c>
    </row>
    <row r="11" spans="1:35" x14ac:dyDescent="0.3">
      <c r="A11" s="26">
        <v>5</v>
      </c>
      <c r="B11" s="9" t="s">
        <v>13</v>
      </c>
      <c r="C11" s="9" t="s">
        <v>8</v>
      </c>
      <c r="D11" s="7"/>
      <c r="E11" s="7">
        <v>0.6</v>
      </c>
      <c r="F11" s="7"/>
      <c r="G11" s="7"/>
      <c r="H11" s="7">
        <v>0.3</v>
      </c>
      <c r="I11" s="7"/>
      <c r="J11" s="7"/>
      <c r="K11" s="7"/>
      <c r="L11" s="7">
        <v>0.2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1.0999999999999999</v>
      </c>
    </row>
    <row r="12" spans="1:35" x14ac:dyDescent="0.3">
      <c r="A12" s="26">
        <v>6</v>
      </c>
      <c r="B12" s="9" t="s">
        <v>13</v>
      </c>
      <c r="C12" s="9" t="s">
        <v>9</v>
      </c>
      <c r="D12" s="7"/>
      <c r="E12" s="7">
        <v>2</v>
      </c>
      <c r="F12" s="7">
        <v>1.5</v>
      </c>
      <c r="G12" s="7"/>
      <c r="H12" s="7"/>
      <c r="I12" s="7"/>
      <c r="J12" s="7"/>
      <c r="K12" s="7">
        <v>0.3</v>
      </c>
      <c r="L12" s="7">
        <v>0.4</v>
      </c>
      <c r="M12" s="7">
        <v>1.1000000000000001</v>
      </c>
      <c r="N12" s="7"/>
      <c r="O12" s="7">
        <v>0.5</v>
      </c>
      <c r="P12" s="7"/>
      <c r="Q12" s="7"/>
      <c r="R12" s="7">
        <v>0.5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6.3000000000000007</v>
      </c>
    </row>
    <row r="13" spans="1:35" x14ac:dyDescent="0.3">
      <c r="A13" s="26">
        <v>7</v>
      </c>
      <c r="B13" s="9" t="s">
        <v>13</v>
      </c>
      <c r="C13" s="9" t="s">
        <v>10</v>
      </c>
      <c r="D13" s="7"/>
      <c r="E13" s="7">
        <v>0.5</v>
      </c>
      <c r="F13" s="7"/>
      <c r="G13" s="7"/>
      <c r="H13" s="7"/>
      <c r="I13" s="7"/>
      <c r="J13" s="7"/>
      <c r="K13" s="7"/>
      <c r="L13" s="7">
        <v>1.3</v>
      </c>
      <c r="M13" s="7">
        <v>1.5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3.3</v>
      </c>
    </row>
    <row r="14" spans="1:35" x14ac:dyDescent="0.3">
      <c r="A14" s="26">
        <v>8</v>
      </c>
      <c r="B14" s="9" t="s">
        <v>17</v>
      </c>
      <c r="C14" s="9" t="s">
        <v>11</v>
      </c>
      <c r="D14" s="7"/>
      <c r="E14" s="7">
        <v>0.5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0.5</v>
      </c>
    </row>
    <row r="15" spans="1:35" x14ac:dyDescent="0.3">
      <c r="A15" s="26">
        <v>9</v>
      </c>
      <c r="B15" s="9" t="s">
        <v>13</v>
      </c>
      <c r="C15" s="9" t="s">
        <v>14</v>
      </c>
      <c r="D15" s="7"/>
      <c r="E15" s="7">
        <v>0.5</v>
      </c>
      <c r="F15" s="7">
        <v>4.0999999999999996</v>
      </c>
      <c r="G15" s="7">
        <v>4.9000000000000004</v>
      </c>
      <c r="H15" s="7"/>
      <c r="I15" s="7"/>
      <c r="J15" s="7"/>
      <c r="K15" s="7"/>
      <c r="L15" s="7"/>
      <c r="M15" s="7"/>
      <c r="N15" s="7">
        <v>0.6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10.1</v>
      </c>
    </row>
    <row r="16" spans="1:35" x14ac:dyDescent="0.3">
      <c r="A16" s="26">
        <v>10</v>
      </c>
      <c r="B16" s="9" t="s">
        <v>13</v>
      </c>
      <c r="C16" s="9" t="s">
        <v>15</v>
      </c>
      <c r="D16" s="7"/>
      <c r="E16" s="7"/>
      <c r="F16" s="7">
        <v>1.4</v>
      </c>
      <c r="G16" s="7">
        <v>0.3</v>
      </c>
      <c r="H16" s="7">
        <v>0.5</v>
      </c>
      <c r="I16" s="7"/>
      <c r="J16" s="7"/>
      <c r="K16" s="7">
        <v>0.5</v>
      </c>
      <c r="L16" s="7">
        <v>1.5</v>
      </c>
      <c r="M16" s="7"/>
      <c r="N16" s="7">
        <v>0.4</v>
      </c>
      <c r="O16" s="7">
        <v>0.6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5.2</v>
      </c>
    </row>
    <row r="17" spans="1:35" x14ac:dyDescent="0.3">
      <c r="A17" s="26">
        <v>11</v>
      </c>
      <c r="B17" s="9" t="s">
        <v>13</v>
      </c>
      <c r="C17" s="9" t="s">
        <v>16</v>
      </c>
      <c r="D17" s="7"/>
      <c r="E17" s="7"/>
      <c r="F17" s="7"/>
      <c r="G17" s="7">
        <v>0.2</v>
      </c>
      <c r="H17" s="7">
        <v>0.4</v>
      </c>
      <c r="I17" s="7"/>
      <c r="J17" s="7"/>
      <c r="K17" s="7"/>
      <c r="L17" s="7">
        <v>0.4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">
      <c r="A18" s="26">
        <v>12</v>
      </c>
      <c r="B18" s="9" t="s">
        <v>13</v>
      </c>
      <c r="C18" s="9" t="s">
        <v>19</v>
      </c>
      <c r="D18" s="7"/>
      <c r="E18" s="7"/>
      <c r="F18" s="7"/>
      <c r="G18" s="7"/>
      <c r="H18" s="7">
        <v>2.1</v>
      </c>
      <c r="I18" s="7"/>
      <c r="J18" s="7"/>
      <c r="K18" s="7">
        <v>1.2</v>
      </c>
      <c r="L18" s="7">
        <v>1.1000000000000001</v>
      </c>
      <c r="M18" s="7"/>
      <c r="N18" s="7">
        <v>1.3</v>
      </c>
      <c r="O18" s="7">
        <v>0.2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5.9</v>
      </c>
    </row>
    <row r="19" spans="1:35" x14ac:dyDescent="0.3">
      <c r="A19" s="26">
        <v>13</v>
      </c>
      <c r="B19" s="9" t="s">
        <v>13</v>
      </c>
      <c r="C19" s="9" t="s">
        <v>18</v>
      </c>
      <c r="D19" s="7"/>
      <c r="E19" s="7"/>
      <c r="F19" s="7"/>
      <c r="G19" s="7"/>
      <c r="H19" s="7">
        <v>2.1</v>
      </c>
      <c r="I19" s="7"/>
      <c r="J19" s="7"/>
      <c r="K19" s="7">
        <v>2.1</v>
      </c>
      <c r="L19" s="7"/>
      <c r="M19" s="7"/>
      <c r="N19" s="7"/>
      <c r="O19" s="7">
        <v>1.9</v>
      </c>
      <c r="P19" s="7"/>
      <c r="Q19" s="7"/>
      <c r="R19" s="7">
        <v>0.7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6.8</v>
      </c>
    </row>
    <row r="20" spans="1:35" x14ac:dyDescent="0.3">
      <c r="A20" s="26">
        <v>14</v>
      </c>
      <c r="B20" s="9" t="s">
        <v>17</v>
      </c>
      <c r="C20" s="9" t="s">
        <v>20</v>
      </c>
      <c r="D20" s="7"/>
      <c r="E20" s="7"/>
      <c r="F20" s="7"/>
      <c r="G20" s="7"/>
      <c r="H20" s="7">
        <v>0.7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0.7</v>
      </c>
    </row>
    <row r="21" spans="1:35" x14ac:dyDescent="0.3">
      <c r="A21" s="26">
        <v>15</v>
      </c>
      <c r="B21" s="8" t="s">
        <v>21</v>
      </c>
      <c r="C21" s="9" t="s">
        <v>23</v>
      </c>
      <c r="D21" s="7"/>
      <c r="E21" s="7"/>
      <c r="F21" s="7"/>
      <c r="G21" s="7"/>
      <c r="H21" s="7">
        <v>0.9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0.9</v>
      </c>
    </row>
    <row r="22" spans="1:35" x14ac:dyDescent="0.3">
      <c r="A22" s="26">
        <v>16</v>
      </c>
      <c r="B22" s="8" t="s">
        <v>21</v>
      </c>
      <c r="C22" s="9" t="s">
        <v>24</v>
      </c>
      <c r="D22" s="7"/>
      <c r="E22" s="7"/>
      <c r="F22" s="7"/>
      <c r="G22" s="7"/>
      <c r="H22" s="7">
        <v>0.6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0.6</v>
      </c>
    </row>
    <row r="23" spans="1:35" x14ac:dyDescent="0.3">
      <c r="A23" s="26">
        <v>17</v>
      </c>
      <c r="B23" s="8" t="s">
        <v>21</v>
      </c>
      <c r="C23" s="8" t="s">
        <v>22</v>
      </c>
      <c r="D23" s="7"/>
      <c r="E23" s="7"/>
      <c r="F23" s="7"/>
      <c r="G23" s="7"/>
      <c r="H23" s="7">
        <v>0.3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0.3</v>
      </c>
    </row>
    <row r="24" spans="1:35" x14ac:dyDescent="0.3">
      <c r="A24" s="26">
        <v>18</v>
      </c>
      <c r="B24" s="9" t="s">
        <v>13</v>
      </c>
      <c r="C24" s="9" t="s">
        <v>25</v>
      </c>
      <c r="D24" s="7"/>
      <c r="E24" s="7"/>
      <c r="F24" s="7"/>
      <c r="G24" s="7"/>
      <c r="H24" s="7"/>
      <c r="I24" s="7"/>
      <c r="J24" s="7"/>
      <c r="K24" s="7">
        <v>0.5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3">
      <c r="A25" s="26">
        <v>19</v>
      </c>
      <c r="B25" s="9" t="s">
        <v>13</v>
      </c>
      <c r="C25" s="6" t="s">
        <v>26</v>
      </c>
      <c r="D25" s="7"/>
      <c r="E25" s="7"/>
      <c r="F25" s="7"/>
      <c r="G25" s="7"/>
      <c r="H25" s="7"/>
      <c r="I25" s="7"/>
      <c r="J25" s="7"/>
      <c r="K25" s="7">
        <v>1.1000000000000001</v>
      </c>
      <c r="L25" s="7">
        <v>0.8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1.9000000000000001</v>
      </c>
    </row>
    <row r="26" spans="1:35" x14ac:dyDescent="0.3">
      <c r="A26" s="26">
        <v>20</v>
      </c>
      <c r="B26" s="9" t="s">
        <v>17</v>
      </c>
      <c r="C26" s="9" t="s">
        <v>28</v>
      </c>
      <c r="D26" s="7"/>
      <c r="E26" s="7"/>
      <c r="F26" s="7"/>
      <c r="G26" s="7"/>
      <c r="H26" s="7"/>
      <c r="I26" s="7"/>
      <c r="J26" s="7"/>
      <c r="K26" s="7">
        <v>1.1000000000000001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1.1000000000000001</v>
      </c>
    </row>
    <row r="27" spans="1:35" x14ac:dyDescent="0.3">
      <c r="A27" s="26">
        <v>21</v>
      </c>
      <c r="B27" s="9" t="s">
        <v>17</v>
      </c>
      <c r="C27" s="9" t="s">
        <v>27</v>
      </c>
      <c r="D27" s="7"/>
      <c r="E27" s="7"/>
      <c r="F27" s="7"/>
      <c r="G27" s="7"/>
      <c r="H27" s="7"/>
      <c r="I27" s="7"/>
      <c r="J27" s="7"/>
      <c r="K27" s="7">
        <v>0.8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0.8</v>
      </c>
    </row>
    <row r="28" spans="1:35" x14ac:dyDescent="0.3">
      <c r="A28" s="26">
        <v>22</v>
      </c>
      <c r="B28" s="8" t="s">
        <v>29</v>
      </c>
      <c r="C28" s="9" t="s">
        <v>31</v>
      </c>
      <c r="D28" s="7"/>
      <c r="E28" s="7"/>
      <c r="F28" s="7"/>
      <c r="G28" s="7"/>
      <c r="H28" s="7"/>
      <c r="I28" s="7"/>
      <c r="J28" s="7"/>
      <c r="K28" s="7">
        <v>0.8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0.8</v>
      </c>
    </row>
    <row r="29" spans="1:35" x14ac:dyDescent="0.3">
      <c r="A29" s="26">
        <v>23</v>
      </c>
      <c r="B29" s="9" t="s">
        <v>29</v>
      </c>
      <c r="C29" s="9" t="s">
        <v>30</v>
      </c>
      <c r="D29" s="7"/>
      <c r="E29" s="7"/>
      <c r="F29" s="7"/>
      <c r="G29" s="7"/>
      <c r="H29" s="7"/>
      <c r="I29" s="7"/>
      <c r="J29" s="7"/>
      <c r="K29" s="7">
        <v>0.3</v>
      </c>
      <c r="L29" s="7">
        <v>0.5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0.8</v>
      </c>
    </row>
    <row r="30" spans="1:35" x14ac:dyDescent="0.3">
      <c r="A30" s="26">
        <v>24</v>
      </c>
      <c r="B30" s="9" t="s">
        <v>29</v>
      </c>
      <c r="C30" s="6" t="s">
        <v>32</v>
      </c>
      <c r="D30" s="7"/>
      <c r="E30" s="7"/>
      <c r="F30" s="7"/>
      <c r="G30" s="7"/>
      <c r="H30" s="7"/>
      <c r="I30" s="7"/>
      <c r="J30" s="7"/>
      <c r="K30" s="7"/>
      <c r="L30" s="7">
        <v>0.3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0.3</v>
      </c>
    </row>
    <row r="31" spans="1:35" x14ac:dyDescent="0.3">
      <c r="A31" s="26">
        <v>25</v>
      </c>
      <c r="B31" s="9" t="s">
        <v>13</v>
      </c>
      <c r="C31" s="9" t="s">
        <v>33</v>
      </c>
      <c r="D31" s="7"/>
      <c r="E31" s="7"/>
      <c r="F31" s="7"/>
      <c r="G31" s="7"/>
      <c r="H31" s="7"/>
      <c r="I31" s="7"/>
      <c r="J31" s="7"/>
      <c r="K31" s="7"/>
      <c r="L31" s="7">
        <v>0.3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0.3</v>
      </c>
    </row>
    <row r="32" spans="1:35" x14ac:dyDescent="0.3">
      <c r="A32" s="26">
        <v>26</v>
      </c>
      <c r="B32" s="8" t="s">
        <v>34</v>
      </c>
      <c r="C32" s="9" t="s">
        <v>38</v>
      </c>
      <c r="D32" s="7"/>
      <c r="E32" s="7"/>
      <c r="F32" s="7"/>
      <c r="G32" s="7"/>
      <c r="H32" s="7"/>
      <c r="I32" s="7"/>
      <c r="J32" s="7"/>
      <c r="K32" s="7"/>
      <c r="L32" s="7">
        <v>0.8</v>
      </c>
      <c r="M32" s="7">
        <v>0.5</v>
      </c>
      <c r="N32" s="7"/>
      <c r="O32" s="7"/>
      <c r="P32" s="7"/>
      <c r="Q32" s="7"/>
      <c r="R32" s="7">
        <v>1.5</v>
      </c>
      <c r="S32" s="7">
        <v>1.2</v>
      </c>
      <c r="T32" s="7">
        <v>1</v>
      </c>
      <c r="U32" s="7">
        <v>0.8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5.8</v>
      </c>
    </row>
    <row r="33" spans="1:35" x14ac:dyDescent="0.3">
      <c r="A33" s="26">
        <v>27</v>
      </c>
      <c r="B33" s="8" t="s">
        <v>34</v>
      </c>
      <c r="C33" s="9" t="s">
        <v>39</v>
      </c>
      <c r="D33" s="7"/>
      <c r="E33" s="7"/>
      <c r="F33" s="7"/>
      <c r="G33" s="7"/>
      <c r="H33" s="7"/>
      <c r="I33" s="7"/>
      <c r="J33" s="7"/>
      <c r="K33" s="7"/>
      <c r="L33" s="7">
        <v>0.6</v>
      </c>
      <c r="M33" s="7">
        <v>0.5</v>
      </c>
      <c r="N33" s="7"/>
      <c r="O33" s="7"/>
      <c r="P33" s="7"/>
      <c r="Q33" s="7"/>
      <c r="R33" s="7"/>
      <c r="S33" s="7"/>
      <c r="T33" s="7">
        <v>1.1000000000000001</v>
      </c>
      <c r="U33" s="7"/>
      <c r="V33" s="7"/>
      <c r="W33" s="7"/>
      <c r="X33" s="7"/>
      <c r="Y33" s="7"/>
      <c r="Z33" s="7"/>
      <c r="AA33" s="7">
        <v>1.3</v>
      </c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3">
      <c r="A34" s="26">
        <v>28</v>
      </c>
      <c r="B34" s="8" t="s">
        <v>34</v>
      </c>
      <c r="C34" s="9" t="s">
        <v>71</v>
      </c>
      <c r="D34" s="7"/>
      <c r="E34" s="7"/>
      <c r="F34" s="7"/>
      <c r="G34" s="7"/>
      <c r="H34" s="7"/>
      <c r="I34" s="7"/>
      <c r="J34" s="7"/>
      <c r="K34" s="7"/>
      <c r="L34" s="7"/>
      <c r="M34" s="7">
        <v>1.1000000000000001</v>
      </c>
      <c r="N34" s="7">
        <v>0.7</v>
      </c>
      <c r="O34" s="7"/>
      <c r="P34" s="7"/>
      <c r="Q34" s="7"/>
      <c r="R34" s="7"/>
      <c r="S34" s="7">
        <v>2.9</v>
      </c>
      <c r="T34" s="7">
        <v>0.9</v>
      </c>
      <c r="U34" s="7"/>
      <c r="V34" s="7">
        <v>1.1000000000000001</v>
      </c>
      <c r="W34" s="7"/>
      <c r="X34" s="7"/>
      <c r="Y34" s="7"/>
      <c r="Z34" s="7"/>
      <c r="AA34" s="7">
        <v>1.1000000000000001</v>
      </c>
      <c r="AB34" s="7">
        <v>1.3</v>
      </c>
      <c r="AC34" s="7"/>
      <c r="AD34" s="7"/>
      <c r="AE34" s="7"/>
      <c r="AF34" s="7"/>
      <c r="AG34" s="7">
        <v>2.2000000000000002</v>
      </c>
      <c r="AH34" s="7"/>
      <c r="AI34" s="2">
        <f t="shared" si="0"/>
        <v>11.3</v>
      </c>
    </row>
    <row r="35" spans="1:35" x14ac:dyDescent="0.3">
      <c r="A35" s="26">
        <v>29</v>
      </c>
      <c r="B35" s="9" t="s">
        <v>13</v>
      </c>
      <c r="C35" s="8" t="s">
        <v>35</v>
      </c>
      <c r="D35" s="7"/>
      <c r="E35" s="7"/>
      <c r="F35" s="7"/>
      <c r="G35" s="7"/>
      <c r="H35" s="7"/>
      <c r="I35" s="7"/>
      <c r="J35" s="7"/>
      <c r="K35" s="7"/>
      <c r="L35" s="7"/>
      <c r="M35" s="7">
        <v>1.2</v>
      </c>
      <c r="N35" s="7"/>
      <c r="O35" s="7">
        <v>0.3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1.5</v>
      </c>
    </row>
    <row r="36" spans="1:35" x14ac:dyDescent="0.3">
      <c r="A36" s="26">
        <v>30</v>
      </c>
      <c r="B36" s="9" t="s">
        <v>13</v>
      </c>
      <c r="C36" s="9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>
        <v>1.5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1.5</v>
      </c>
    </row>
    <row r="37" spans="1:35" x14ac:dyDescent="0.3">
      <c r="A37" s="26">
        <v>31</v>
      </c>
      <c r="B37" s="9" t="s">
        <v>13</v>
      </c>
      <c r="C37" s="8" t="s">
        <v>36</v>
      </c>
      <c r="D37" s="7"/>
      <c r="E37" s="7"/>
      <c r="F37" s="7"/>
      <c r="G37" s="7"/>
      <c r="H37" s="7"/>
      <c r="I37" s="7"/>
      <c r="J37" s="7"/>
      <c r="K37" s="7"/>
      <c r="L37" s="7"/>
      <c r="M37" s="7">
        <v>1.4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1.4</v>
      </c>
    </row>
    <row r="38" spans="1:35" x14ac:dyDescent="0.3">
      <c r="A38" s="26">
        <v>32</v>
      </c>
      <c r="B38" s="9" t="s">
        <v>17</v>
      </c>
      <c r="C38" s="10" t="s">
        <v>40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1.8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1.8</v>
      </c>
    </row>
    <row r="39" spans="1:35" x14ac:dyDescent="0.3">
      <c r="A39" s="26">
        <v>33</v>
      </c>
      <c r="B39" s="10" t="s">
        <v>41</v>
      </c>
      <c r="C39" s="14" t="s">
        <v>43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>
        <v>0.3</v>
      </c>
      <c r="O39" s="11">
        <v>0.7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3">
      <c r="A40" s="26">
        <v>34</v>
      </c>
      <c r="B40" s="10" t="s">
        <v>41</v>
      </c>
      <c r="C40" s="10" t="s">
        <v>42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>
        <v>0.2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0.2</v>
      </c>
    </row>
    <row r="41" spans="1:35" x14ac:dyDescent="0.3">
      <c r="A41" s="26">
        <v>35</v>
      </c>
      <c r="B41" s="9" t="s">
        <v>13</v>
      </c>
      <c r="C41" s="10" t="s">
        <v>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0.9</v>
      </c>
      <c r="O41" s="11">
        <v>1.5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2.4</v>
      </c>
    </row>
    <row r="42" spans="1:35" x14ac:dyDescent="0.3">
      <c r="A42" s="26">
        <v>36</v>
      </c>
      <c r="B42" s="8" t="s">
        <v>34</v>
      </c>
      <c r="C42" s="9" t="s">
        <v>45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>
        <v>0.9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>
        <v>1.6</v>
      </c>
      <c r="AC42" s="11"/>
      <c r="AD42" s="11"/>
      <c r="AE42" s="11"/>
      <c r="AF42" s="11"/>
      <c r="AG42" s="11">
        <v>2.2999999999999998</v>
      </c>
      <c r="AH42" s="11"/>
      <c r="AI42" s="2">
        <f t="shared" si="0"/>
        <v>4.8</v>
      </c>
    </row>
    <row r="43" spans="1:35" x14ac:dyDescent="0.3">
      <c r="A43" s="26">
        <v>37</v>
      </c>
      <c r="B43" s="14" t="s">
        <v>46</v>
      </c>
      <c r="C43" s="10" t="s">
        <v>47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>
        <v>0.7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0.7</v>
      </c>
    </row>
    <row r="44" spans="1:35" x14ac:dyDescent="0.3">
      <c r="A44" s="26">
        <v>38</v>
      </c>
      <c r="B44" s="9" t="s">
        <v>13</v>
      </c>
      <c r="C44" s="14" t="s">
        <v>49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v>2.2000000000000002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3">
      <c r="A45" s="26">
        <v>39</v>
      </c>
      <c r="B45" s="9" t="s">
        <v>13</v>
      </c>
      <c r="C45" s="10" t="s">
        <v>48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3.4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3.4</v>
      </c>
    </row>
    <row r="46" spans="1:35" x14ac:dyDescent="0.3">
      <c r="A46" s="26">
        <v>40</v>
      </c>
      <c r="B46" s="9" t="s">
        <v>55</v>
      </c>
      <c r="C46" s="14" t="s">
        <v>56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>
        <v>0.9</v>
      </c>
      <c r="T46" s="11">
        <v>1.1000000000000001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</v>
      </c>
    </row>
    <row r="47" spans="1:35" x14ac:dyDescent="0.3">
      <c r="A47" s="26">
        <v>41</v>
      </c>
      <c r="B47" s="8" t="s">
        <v>34</v>
      </c>
      <c r="C47" s="10" t="s">
        <v>50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>
        <v>1.7</v>
      </c>
      <c r="S47" s="11">
        <v>1.1000000000000001</v>
      </c>
      <c r="T47" s="11">
        <v>0.8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>
        <v>1.3</v>
      </c>
      <c r="AG47" s="11"/>
      <c r="AH47" s="11"/>
      <c r="AI47" s="2">
        <f t="shared" si="0"/>
        <v>4.8999999999999995</v>
      </c>
    </row>
    <row r="48" spans="1:35" x14ac:dyDescent="0.3">
      <c r="A48" s="26">
        <v>42</v>
      </c>
      <c r="B48" s="9" t="s">
        <v>17</v>
      </c>
      <c r="C48" s="14" t="s">
        <v>52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1.4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1.4</v>
      </c>
    </row>
    <row r="49" spans="1:35" x14ac:dyDescent="0.3">
      <c r="A49" s="26">
        <v>43</v>
      </c>
      <c r="B49" s="9" t="s">
        <v>17</v>
      </c>
      <c r="C49" s="14" t="s">
        <v>51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1.3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1.3</v>
      </c>
    </row>
    <row r="50" spans="1:35" x14ac:dyDescent="0.3">
      <c r="A50" s="26">
        <v>44</v>
      </c>
      <c r="B50" s="10" t="s">
        <v>53</v>
      </c>
      <c r="C50" s="10" t="s">
        <v>54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0.4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0.9</v>
      </c>
      <c r="AE50" s="11"/>
      <c r="AF50" s="11"/>
      <c r="AG50" s="11"/>
      <c r="AH50" s="11"/>
      <c r="AI50" s="2">
        <f t="shared" si="0"/>
        <v>1.3</v>
      </c>
    </row>
    <row r="51" spans="1:35" x14ac:dyDescent="0.3">
      <c r="A51" s="26">
        <v>45</v>
      </c>
      <c r="B51" s="9" t="s">
        <v>17</v>
      </c>
      <c r="C51" s="10" t="s">
        <v>57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0.8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0.8</v>
      </c>
    </row>
    <row r="52" spans="1:35" x14ac:dyDescent="0.3">
      <c r="A52" s="26">
        <v>46</v>
      </c>
      <c r="B52" s="10" t="s">
        <v>46</v>
      </c>
      <c r="C52" s="14" t="s">
        <v>59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>
        <v>0.8</v>
      </c>
      <c r="U52" s="11">
        <v>0.2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">
      <c r="A53" s="26">
        <v>47</v>
      </c>
      <c r="B53" s="10" t="s">
        <v>46</v>
      </c>
      <c r="C53" s="10" t="s">
        <v>58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>
        <v>0.7</v>
      </c>
      <c r="U53" s="11">
        <v>0.6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1.2999999999999998</v>
      </c>
    </row>
    <row r="54" spans="1:35" x14ac:dyDescent="0.3">
      <c r="A54" s="26">
        <v>48</v>
      </c>
      <c r="B54" s="8" t="s">
        <v>34</v>
      </c>
      <c r="C54" s="14" t="s">
        <v>81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1</v>
      </c>
      <c r="U54" s="11">
        <v>0.8</v>
      </c>
      <c r="V54" s="11">
        <v>0.8</v>
      </c>
      <c r="W54" s="11"/>
      <c r="X54" s="11"/>
      <c r="Y54" s="11">
        <v>0.8</v>
      </c>
      <c r="Z54" s="11"/>
      <c r="AA54" s="11"/>
      <c r="AB54" s="11"/>
      <c r="AC54" s="11"/>
      <c r="AD54" s="11"/>
      <c r="AE54" s="11"/>
      <c r="AF54" s="11">
        <v>1.1000000000000001</v>
      </c>
      <c r="AG54" s="11"/>
      <c r="AH54" s="11"/>
      <c r="AI54" s="2">
        <f t="shared" si="0"/>
        <v>4.5</v>
      </c>
    </row>
    <row r="55" spans="1:35" x14ac:dyDescent="0.3">
      <c r="A55" s="26">
        <v>49</v>
      </c>
      <c r="B55" s="8" t="s">
        <v>34</v>
      </c>
      <c r="C55" s="14" t="s">
        <v>78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0.8</v>
      </c>
      <c r="U55" s="11">
        <v>4.9000000000000004</v>
      </c>
      <c r="V55" s="11">
        <v>3.7</v>
      </c>
      <c r="W55" s="11"/>
      <c r="X55" s="11"/>
      <c r="Y55" s="11">
        <v>1.5</v>
      </c>
      <c r="Z55" s="11"/>
      <c r="AA55" s="11">
        <v>1.5</v>
      </c>
      <c r="AB55" s="11">
        <v>2.2000000000000002</v>
      </c>
      <c r="AC55" s="11"/>
      <c r="AD55" s="11"/>
      <c r="AE55" s="11"/>
      <c r="AF55" s="11"/>
      <c r="AG55" s="11"/>
      <c r="AH55" s="11"/>
      <c r="AI55" s="2">
        <f t="shared" si="0"/>
        <v>14.600000000000001</v>
      </c>
    </row>
    <row r="56" spans="1:35" x14ac:dyDescent="0.3">
      <c r="A56" s="26">
        <v>50</v>
      </c>
      <c r="B56" s="10" t="s">
        <v>60</v>
      </c>
      <c r="C56" s="10" t="s">
        <v>61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0.5</v>
      </c>
      <c r="V56" s="11">
        <v>2.2999999999999998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2.8</v>
      </c>
    </row>
    <row r="57" spans="1:35" x14ac:dyDescent="0.3">
      <c r="A57" s="26">
        <v>51</v>
      </c>
      <c r="B57" s="10" t="s">
        <v>62</v>
      </c>
      <c r="C57" s="10" t="s">
        <v>63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>
        <v>1.2</v>
      </c>
      <c r="V57" s="11">
        <v>1.1000000000000001</v>
      </c>
      <c r="W57" s="11"/>
      <c r="X57" s="11"/>
      <c r="Y57" s="11">
        <v>1.2</v>
      </c>
      <c r="Z57" s="11">
        <v>1.4</v>
      </c>
      <c r="AA57" s="11"/>
      <c r="AB57" s="11"/>
      <c r="AC57" s="11"/>
      <c r="AD57" s="11"/>
      <c r="AE57" s="11"/>
      <c r="AF57" s="11"/>
      <c r="AG57" s="11">
        <v>0.5</v>
      </c>
      <c r="AH57" s="11"/>
      <c r="AI57" s="2">
        <f t="shared" si="0"/>
        <v>5.4</v>
      </c>
    </row>
    <row r="58" spans="1:35" x14ac:dyDescent="0.3">
      <c r="A58" s="26">
        <v>52</v>
      </c>
      <c r="B58" s="10" t="s">
        <v>62</v>
      </c>
      <c r="C58" s="14" t="s">
        <v>64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4" t="s">
        <v>46</v>
      </c>
      <c r="C59" s="14" t="s">
        <v>66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0.8</v>
      </c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0.8</v>
      </c>
    </row>
    <row r="60" spans="1:35" x14ac:dyDescent="0.3">
      <c r="A60" s="26">
        <v>54</v>
      </c>
      <c r="B60" s="14" t="s">
        <v>46</v>
      </c>
      <c r="C60" s="10" t="s">
        <v>65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0.7</v>
      </c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0.7</v>
      </c>
    </row>
    <row r="61" spans="1:35" x14ac:dyDescent="0.3">
      <c r="A61" s="26">
        <v>55</v>
      </c>
      <c r="B61" s="10" t="s">
        <v>62</v>
      </c>
      <c r="C61" s="10" t="s">
        <v>67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>
        <v>1.6</v>
      </c>
      <c r="Z61" s="11">
        <v>2.5</v>
      </c>
      <c r="AA61" s="11"/>
      <c r="AB61" s="11">
        <v>0.3</v>
      </c>
      <c r="AC61" s="11"/>
      <c r="AD61" s="11"/>
      <c r="AE61" s="11"/>
      <c r="AF61" s="11"/>
      <c r="AG61" s="11"/>
      <c r="AH61" s="11"/>
      <c r="AI61" s="2">
        <f t="shared" si="0"/>
        <v>4.3999999999999995</v>
      </c>
    </row>
    <row r="62" spans="1:35" x14ac:dyDescent="0.3">
      <c r="A62" s="26">
        <v>56</v>
      </c>
      <c r="B62" s="10" t="s">
        <v>62</v>
      </c>
      <c r="C62" s="14" t="s">
        <v>69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1.4</v>
      </c>
      <c r="Z62" s="11">
        <v>0.3</v>
      </c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1.7</v>
      </c>
    </row>
    <row r="63" spans="1:35" x14ac:dyDescent="0.3">
      <c r="A63" s="26">
        <v>57</v>
      </c>
      <c r="B63" s="10" t="s">
        <v>62</v>
      </c>
      <c r="C63" s="10" t="s">
        <v>68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>
        <v>0.7</v>
      </c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0.7</v>
      </c>
    </row>
    <row r="64" spans="1:35" x14ac:dyDescent="0.3">
      <c r="A64" s="26">
        <v>58</v>
      </c>
      <c r="B64" s="9" t="s">
        <v>13</v>
      </c>
      <c r="C64" s="10" t="s">
        <v>70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0.3</v>
      </c>
    </row>
    <row r="65" spans="1:35" x14ac:dyDescent="0.3">
      <c r="A65" s="26">
        <v>59</v>
      </c>
      <c r="B65" s="8" t="s">
        <v>34</v>
      </c>
      <c r="C65" s="14" t="s">
        <v>80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>
        <v>4.3</v>
      </c>
      <c r="AA65" s="11">
        <v>2.5</v>
      </c>
      <c r="AB65" s="11"/>
      <c r="AC65" s="11">
        <v>1.3</v>
      </c>
      <c r="AD65" s="11">
        <v>0.9</v>
      </c>
      <c r="AE65" s="11"/>
      <c r="AF65" s="11"/>
      <c r="AG65" s="11"/>
      <c r="AH65" s="11"/>
      <c r="AI65" s="2">
        <f t="shared" si="0"/>
        <v>9</v>
      </c>
    </row>
    <row r="66" spans="1:35" x14ac:dyDescent="0.3">
      <c r="A66" s="26">
        <v>60</v>
      </c>
      <c r="B66" s="8" t="s">
        <v>34</v>
      </c>
      <c r="C66" s="14" t="s">
        <v>77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>
        <v>0.5</v>
      </c>
      <c r="AA66" s="11">
        <v>2.6</v>
      </c>
      <c r="AB66" s="11"/>
      <c r="AC66" s="11"/>
      <c r="AD66" s="11"/>
      <c r="AE66" s="11"/>
      <c r="AF66" s="11">
        <v>1.3</v>
      </c>
      <c r="AG66" s="11"/>
      <c r="AH66" s="11">
        <v>1</v>
      </c>
      <c r="AI66" s="2">
        <f t="shared" si="0"/>
        <v>5.4</v>
      </c>
    </row>
    <row r="67" spans="1:35" x14ac:dyDescent="0.3">
      <c r="A67" s="26">
        <v>61</v>
      </c>
      <c r="B67" s="8" t="s">
        <v>34</v>
      </c>
      <c r="C67" s="14" t="s">
        <v>76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1.2</v>
      </c>
      <c r="AC67" s="11"/>
      <c r="AD67" s="11"/>
      <c r="AE67" s="11"/>
      <c r="AF67" s="11"/>
      <c r="AG67" s="11">
        <v>1.5</v>
      </c>
      <c r="AH67" s="11"/>
      <c r="AI67" s="2">
        <f t="shared" si="0"/>
        <v>2.7</v>
      </c>
    </row>
    <row r="68" spans="1:35" x14ac:dyDescent="0.3">
      <c r="A68" s="26">
        <v>62</v>
      </c>
      <c r="B68" s="8" t="s">
        <v>34</v>
      </c>
      <c r="C68" s="14" t="s">
        <v>75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1.5</v>
      </c>
      <c r="AC68" s="11"/>
      <c r="AD68" s="11">
        <v>1</v>
      </c>
      <c r="AE68" s="11"/>
      <c r="AF68" s="11"/>
      <c r="AG68" s="11"/>
      <c r="AH68" s="11"/>
      <c r="AI68" s="2">
        <f t="shared" si="0"/>
        <v>2.5</v>
      </c>
    </row>
    <row r="69" spans="1:35" x14ac:dyDescent="0.3">
      <c r="A69" s="26">
        <v>63</v>
      </c>
      <c r="B69" s="9" t="s">
        <v>13</v>
      </c>
      <c r="C69" s="10" t="s">
        <v>72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0.9</v>
      </c>
      <c r="AC69" s="11"/>
      <c r="AD69" s="11"/>
      <c r="AE69" s="11"/>
      <c r="AF69" s="11"/>
      <c r="AG69" s="11"/>
      <c r="AH69" s="11"/>
      <c r="AI69" s="2">
        <f t="shared" si="0"/>
        <v>0.9</v>
      </c>
    </row>
    <row r="70" spans="1:35" x14ac:dyDescent="0.3">
      <c r="A70" s="26">
        <v>64</v>
      </c>
      <c r="B70" s="10" t="s">
        <v>46</v>
      </c>
      <c r="C70" s="14" t="s">
        <v>73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>
        <v>3.1</v>
      </c>
      <c r="AD70" s="11"/>
      <c r="AE70" s="11"/>
      <c r="AF70" s="11"/>
      <c r="AG70" s="11"/>
      <c r="AH70" s="11"/>
      <c r="AI70" s="2">
        <f t="shared" si="0"/>
        <v>3.1</v>
      </c>
    </row>
    <row r="71" spans="1:35" x14ac:dyDescent="0.3">
      <c r="A71" s="26">
        <v>65</v>
      </c>
      <c r="B71" s="8" t="s">
        <v>34</v>
      </c>
      <c r="C71" s="14" t="s">
        <v>74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>
        <v>3.8</v>
      </c>
      <c r="AD71" s="11">
        <v>1.2</v>
      </c>
      <c r="AE71" s="11"/>
      <c r="AF71" s="11"/>
      <c r="AG71" s="11"/>
      <c r="AH71" s="11">
        <v>1.2</v>
      </c>
      <c r="AI71" s="2">
        <f t="shared" si="0"/>
        <v>6.2</v>
      </c>
    </row>
    <row r="72" spans="1:35" x14ac:dyDescent="0.3">
      <c r="A72" s="26">
        <v>66</v>
      </c>
      <c r="B72" s="8" t="s">
        <v>34</v>
      </c>
      <c r="C72" s="14" t="s">
        <v>79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1.3</v>
      </c>
      <c r="AD72" s="11">
        <v>0.7</v>
      </c>
      <c r="AE72" s="11"/>
      <c r="AF72" s="11"/>
      <c r="AG72" s="11"/>
      <c r="AH72" s="11"/>
      <c r="AI72" s="2">
        <f t="shared" si="0"/>
        <v>2</v>
      </c>
    </row>
    <row r="73" spans="1:35" x14ac:dyDescent="0.3">
      <c r="A73" s="26">
        <v>67</v>
      </c>
      <c r="B73" s="8" t="s">
        <v>34</v>
      </c>
      <c r="C73" s="10" t="s">
        <v>82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>
        <v>1.8</v>
      </c>
      <c r="AE73" s="11"/>
      <c r="AF73" s="11"/>
      <c r="AG73" s="11"/>
      <c r="AH73" s="11">
        <v>1.1000000000000001</v>
      </c>
      <c r="AI73" s="2">
        <f t="shared" si="0"/>
        <v>2.9000000000000004</v>
      </c>
    </row>
    <row r="74" spans="1:35" x14ac:dyDescent="0.3">
      <c r="A74" s="26">
        <v>68</v>
      </c>
      <c r="B74" s="8" t="s">
        <v>34</v>
      </c>
      <c r="C74" s="14" t="s">
        <v>84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0.9</v>
      </c>
      <c r="AE74" s="11"/>
      <c r="AF74" s="11"/>
      <c r="AG74" s="11"/>
      <c r="AH74" s="11"/>
      <c r="AI74" s="2">
        <f t="shared" si="0"/>
        <v>0.9</v>
      </c>
    </row>
    <row r="75" spans="1:35" x14ac:dyDescent="0.3">
      <c r="A75" s="26">
        <v>69</v>
      </c>
      <c r="B75" s="8" t="s">
        <v>34</v>
      </c>
      <c r="C75" s="10" t="s">
        <v>83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>
        <v>1.6</v>
      </c>
      <c r="AE75" s="11"/>
      <c r="AF75" s="11">
        <v>1.4</v>
      </c>
      <c r="AG75" s="11"/>
      <c r="AH75" s="11"/>
      <c r="AI75" s="2">
        <f t="shared" si="0"/>
        <v>3</v>
      </c>
    </row>
    <row r="76" spans="1:35" x14ac:dyDescent="0.3">
      <c r="A76" s="26">
        <v>70</v>
      </c>
      <c r="B76" s="8" t="s">
        <v>34</v>
      </c>
      <c r="C76" s="10" t="s">
        <v>85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>
        <v>1.8</v>
      </c>
      <c r="AG76" s="11"/>
      <c r="AH76" s="11"/>
      <c r="AI76" s="2">
        <f t="shared" si="0"/>
        <v>1.8</v>
      </c>
    </row>
    <row r="77" spans="1:35" x14ac:dyDescent="0.3">
      <c r="A77" s="26">
        <v>71</v>
      </c>
      <c r="B77" s="8" t="s">
        <v>34</v>
      </c>
      <c r="C77" s="10" t="s">
        <v>86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1.6</v>
      </c>
      <c r="AG77" s="11"/>
      <c r="AH77" s="11"/>
      <c r="AI77" s="2">
        <f t="shared" si="0"/>
        <v>1.6</v>
      </c>
    </row>
    <row r="78" spans="1:35" x14ac:dyDescent="0.3">
      <c r="A78" s="26">
        <v>72</v>
      </c>
      <c r="B78" s="10" t="s">
        <v>87</v>
      </c>
      <c r="C78" s="10" t="s">
        <v>88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>
        <v>0.5</v>
      </c>
      <c r="AG78" s="11"/>
      <c r="AH78" s="11"/>
      <c r="AI78" s="2">
        <f t="shared" si="0"/>
        <v>0.5</v>
      </c>
    </row>
    <row r="79" spans="1:35" x14ac:dyDescent="0.3">
      <c r="A79" s="26">
        <v>73</v>
      </c>
      <c r="B79" s="10" t="s">
        <v>62</v>
      </c>
      <c r="C79" s="14" t="s">
        <v>90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0.8</v>
      </c>
      <c r="AH79" s="11"/>
      <c r="AI79" s="2">
        <f t="shared" si="0"/>
        <v>0.8</v>
      </c>
    </row>
    <row r="80" spans="1:35" x14ac:dyDescent="0.3">
      <c r="A80" s="26">
        <v>74</v>
      </c>
      <c r="B80" s="10" t="s">
        <v>62</v>
      </c>
      <c r="C80" s="10" t="s">
        <v>89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0.7</v>
      </c>
      <c r="AH80" s="11"/>
      <c r="AI80" s="2">
        <f t="shared" si="0"/>
        <v>0.7</v>
      </c>
    </row>
    <row r="81" spans="1:35" x14ac:dyDescent="0.3">
      <c r="A81" s="26">
        <v>75</v>
      </c>
      <c r="B81" s="10" t="s">
        <v>62</v>
      </c>
      <c r="C81" s="10" t="s">
        <v>91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1</v>
      </c>
      <c r="AH81" s="11"/>
      <c r="AI81" s="2">
        <f t="shared" si="0"/>
        <v>1</v>
      </c>
    </row>
    <row r="82" spans="1:35" x14ac:dyDescent="0.3">
      <c r="A82" s="26">
        <v>76</v>
      </c>
      <c r="B82" s="8" t="s">
        <v>34</v>
      </c>
      <c r="C82" s="10" t="s">
        <v>92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>
        <v>2.5</v>
      </c>
      <c r="AI82" s="2">
        <f t="shared" si="0"/>
        <v>2.5</v>
      </c>
    </row>
    <row r="83" spans="1:35" x14ac:dyDescent="0.3">
      <c r="A83" s="26">
        <v>77</v>
      </c>
      <c r="B83" s="8" t="s">
        <v>34</v>
      </c>
      <c r="C83" s="10" t="s">
        <v>93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>
        <v>0.5</v>
      </c>
      <c r="AI83" s="2">
        <f t="shared" si="0"/>
        <v>0.5</v>
      </c>
    </row>
    <row r="84" spans="1:35" x14ac:dyDescent="0.3">
      <c r="A84" s="26">
        <v>78</v>
      </c>
      <c r="B84" s="8" t="s">
        <v>34</v>
      </c>
      <c r="C84" s="10" t="s">
        <v>94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>
        <v>0.9</v>
      </c>
      <c r="AI84" s="2">
        <f t="shared" si="0"/>
        <v>0.9</v>
      </c>
    </row>
    <row r="85" spans="1:35" x14ac:dyDescent="0.3">
      <c r="A85" s="26">
        <v>79</v>
      </c>
      <c r="B85" s="10" t="s">
        <v>62</v>
      </c>
      <c r="C85" s="10" t="s">
        <v>95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>
        <v>1.2</v>
      </c>
      <c r="AI85" s="2">
        <f t="shared" si="0"/>
        <v>1.2</v>
      </c>
    </row>
    <row r="86" spans="1:35" x14ac:dyDescent="0.3">
      <c r="A86" s="26">
        <v>80</v>
      </c>
      <c r="B86" s="10" t="s">
        <v>96</v>
      </c>
      <c r="C86" s="10" t="s">
        <v>97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>
        <v>1</v>
      </c>
      <c r="AI86" s="2">
        <f t="shared" si="0"/>
        <v>1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10.000000000000002</v>
      </c>
      <c r="N107" s="3">
        <f t="shared" si="1"/>
        <v>9</v>
      </c>
      <c r="O107" s="3">
        <f t="shared" si="1"/>
        <v>9.2999999999999989</v>
      </c>
      <c r="P107" s="3">
        <f t="shared" si="1"/>
        <v>0</v>
      </c>
      <c r="Q107" s="3">
        <f t="shared" si="1"/>
        <v>0</v>
      </c>
      <c r="R107" s="3">
        <f t="shared" si="1"/>
        <v>10</v>
      </c>
      <c r="S107" s="3">
        <f t="shared" si="1"/>
        <v>9.2000000000000011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9.0000000000000018</v>
      </c>
      <c r="AC107" s="3">
        <f t="shared" si="1"/>
        <v>9.5</v>
      </c>
      <c r="AD107" s="3">
        <f t="shared" si="1"/>
        <v>9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9.4</v>
      </c>
      <c r="AI107" s="1">
        <f>SUM(D107:AH107)</f>
        <v>210.4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7"/>
  <sheetViews>
    <sheetView zoomScale="85" zoomScaleNormal="85" workbookViewId="0">
      <pane xSplit="3" topLeftCell="T1" activePane="topRight" state="frozen"/>
      <selection pane="topRight" activeCell="B21" sqref="B21:B22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5" thickBot="1" x14ac:dyDescent="0.35">
      <c r="A7" s="25">
        <v>1</v>
      </c>
      <c r="B7" s="9" t="s">
        <v>130</v>
      </c>
      <c r="C7" s="15" t="s">
        <v>103</v>
      </c>
      <c r="D7" s="13"/>
      <c r="E7" s="5">
        <v>0.8</v>
      </c>
      <c r="F7" s="5"/>
      <c r="G7" s="5"/>
      <c r="H7" s="5"/>
      <c r="I7" s="5">
        <v>6.5</v>
      </c>
      <c r="J7" s="5"/>
      <c r="K7" s="5">
        <v>6</v>
      </c>
      <c r="L7" s="5">
        <v>2</v>
      </c>
      <c r="M7" s="5"/>
      <c r="N7" s="5"/>
      <c r="O7" s="5"/>
      <c r="P7" s="5"/>
      <c r="Q7" s="5"/>
      <c r="R7" s="5">
        <v>5</v>
      </c>
      <c r="S7" s="5">
        <v>2.2999999999999998</v>
      </c>
      <c r="T7" s="5">
        <v>2</v>
      </c>
      <c r="U7" s="5"/>
      <c r="V7" s="5"/>
      <c r="W7" s="5">
        <v>2</v>
      </c>
      <c r="X7" s="5"/>
      <c r="Y7" s="5">
        <v>1</v>
      </c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27.6</v>
      </c>
    </row>
    <row r="8" spans="1:35" x14ac:dyDescent="0.3">
      <c r="A8" s="26">
        <v>2</v>
      </c>
      <c r="B8" s="9" t="s">
        <v>131</v>
      </c>
      <c r="C8" s="15" t="s">
        <v>102</v>
      </c>
      <c r="D8" s="7">
        <v>2</v>
      </c>
      <c r="E8" s="7">
        <v>0.5</v>
      </c>
      <c r="F8" s="7">
        <v>2.2999999999999998</v>
      </c>
      <c r="G8" s="7"/>
      <c r="H8" s="7">
        <v>6.5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2.2000000000000002</v>
      </c>
      <c r="U8" s="7"/>
      <c r="V8" s="7"/>
      <c r="W8" s="7"/>
      <c r="X8" s="7">
        <v>1</v>
      </c>
      <c r="Y8" s="7">
        <v>1</v>
      </c>
      <c r="Z8" s="7">
        <v>2</v>
      </c>
      <c r="AA8" s="7"/>
      <c r="AB8" s="7"/>
      <c r="AC8" s="7">
        <v>3.5</v>
      </c>
      <c r="AD8" s="7">
        <v>1.2</v>
      </c>
      <c r="AE8" s="7"/>
      <c r="AF8" s="7"/>
      <c r="AG8" s="7"/>
      <c r="AH8" s="7"/>
      <c r="AI8" s="2">
        <f t="shared" si="0"/>
        <v>22.2</v>
      </c>
    </row>
    <row r="9" spans="1:35" x14ac:dyDescent="0.3">
      <c r="A9" s="26">
        <v>3</v>
      </c>
      <c r="B9" s="9" t="s">
        <v>132</v>
      </c>
      <c r="C9" s="9" t="s">
        <v>101</v>
      </c>
      <c r="D9" s="7">
        <v>0.5</v>
      </c>
      <c r="E9" s="7">
        <v>0.8</v>
      </c>
      <c r="F9" s="7">
        <v>0.5</v>
      </c>
      <c r="G9" s="7"/>
      <c r="H9" s="7">
        <v>1.2</v>
      </c>
      <c r="I9" s="7">
        <v>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5</v>
      </c>
      <c r="X9" s="7">
        <v>2</v>
      </c>
      <c r="Y9" s="7">
        <v>2</v>
      </c>
      <c r="Z9" s="7">
        <v>3.1</v>
      </c>
      <c r="AA9" s="7">
        <v>3</v>
      </c>
      <c r="AB9" s="7"/>
      <c r="AC9" s="7"/>
      <c r="AD9" s="7"/>
      <c r="AE9" s="7"/>
      <c r="AF9" s="7"/>
      <c r="AG9" s="7"/>
      <c r="AH9" s="7"/>
      <c r="AI9" s="2">
        <f t="shared" si="0"/>
        <v>20.100000000000001</v>
      </c>
    </row>
    <row r="10" spans="1:35" x14ac:dyDescent="0.3">
      <c r="A10" s="26">
        <v>4</v>
      </c>
      <c r="B10" s="9" t="s">
        <v>133</v>
      </c>
      <c r="C10" s="9" t="s">
        <v>100</v>
      </c>
      <c r="D10" s="7">
        <v>1.2</v>
      </c>
      <c r="E10" s="7">
        <v>0.4</v>
      </c>
      <c r="F10" s="7">
        <v>0.8</v>
      </c>
      <c r="G10" s="7"/>
      <c r="H10" s="7">
        <v>1.4</v>
      </c>
      <c r="I10" s="7">
        <v>2.5</v>
      </c>
      <c r="J10" s="7">
        <v>3</v>
      </c>
      <c r="K10" s="7"/>
      <c r="L10" s="7"/>
      <c r="M10" s="7"/>
      <c r="N10" s="7"/>
      <c r="O10" s="7"/>
      <c r="P10" s="7"/>
      <c r="Q10" s="7"/>
      <c r="R10" s="7">
        <v>3</v>
      </c>
      <c r="S10" s="7">
        <v>5</v>
      </c>
      <c r="T10" s="7"/>
      <c r="U10" s="7"/>
      <c r="V10" s="7"/>
      <c r="W10" s="7"/>
      <c r="X10" s="7"/>
      <c r="Y10" s="7"/>
      <c r="Z10" s="7"/>
      <c r="AA10" s="7"/>
      <c r="AB10" s="7"/>
      <c r="AC10" s="7">
        <v>4</v>
      </c>
      <c r="AD10" s="7">
        <v>4</v>
      </c>
      <c r="AE10" s="7"/>
      <c r="AF10" s="7"/>
      <c r="AG10" s="7"/>
      <c r="AH10" s="7"/>
      <c r="AI10" s="2">
        <f t="shared" si="0"/>
        <v>25.3</v>
      </c>
    </row>
    <row r="11" spans="1:35" x14ac:dyDescent="0.3">
      <c r="A11" s="26">
        <v>5</v>
      </c>
      <c r="B11" s="9" t="s">
        <v>134</v>
      </c>
      <c r="C11" s="9" t="s">
        <v>99</v>
      </c>
      <c r="D11" s="7">
        <v>1.3</v>
      </c>
      <c r="E11" s="7">
        <v>0.5</v>
      </c>
      <c r="F11" s="7">
        <v>0.6</v>
      </c>
      <c r="G11" s="7"/>
      <c r="H11" s="7"/>
      <c r="I11" s="7"/>
      <c r="J11" s="7">
        <v>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6</v>
      </c>
      <c r="W11" s="7">
        <v>2</v>
      </c>
      <c r="X11" s="7">
        <v>8</v>
      </c>
      <c r="Y11" s="7">
        <v>5.4</v>
      </c>
      <c r="Z11" s="7">
        <v>4</v>
      </c>
      <c r="AA11" s="7">
        <v>5</v>
      </c>
      <c r="AB11" s="7"/>
      <c r="AC11" s="7"/>
      <c r="AD11" s="7">
        <v>4</v>
      </c>
      <c r="AE11" s="7">
        <v>1</v>
      </c>
      <c r="AF11" s="7"/>
      <c r="AG11" s="7"/>
      <c r="AH11" s="7"/>
      <c r="AI11" s="2">
        <f t="shared" si="0"/>
        <v>46.8</v>
      </c>
    </row>
    <row r="12" spans="1:35" x14ac:dyDescent="0.3">
      <c r="A12" s="26">
        <v>6</v>
      </c>
      <c r="B12" s="9" t="s">
        <v>135</v>
      </c>
      <c r="C12" s="9" t="s">
        <v>98</v>
      </c>
      <c r="D12" s="7">
        <v>0.5</v>
      </c>
      <c r="E12" s="7">
        <v>6.5</v>
      </c>
      <c r="F12" s="7">
        <v>4.8</v>
      </c>
      <c r="G12" s="7"/>
      <c r="H12" s="7">
        <v>0.8</v>
      </c>
      <c r="I12" s="7"/>
      <c r="J12" s="7"/>
      <c r="K12" s="7"/>
      <c r="L12" s="7">
        <v>5.7</v>
      </c>
      <c r="M12" s="7"/>
      <c r="N12" s="7"/>
      <c r="O12" s="7"/>
      <c r="P12" s="7"/>
      <c r="Q12" s="7"/>
      <c r="R12" s="7">
        <v>3</v>
      </c>
      <c r="S12" s="7">
        <v>2</v>
      </c>
      <c r="T12" s="7">
        <v>5</v>
      </c>
      <c r="U12" s="7"/>
      <c r="V12" s="7">
        <v>3.4</v>
      </c>
      <c r="W12" s="7"/>
      <c r="X12" s="7"/>
      <c r="Y12" s="7"/>
      <c r="Z12" s="7"/>
      <c r="AA12" s="7"/>
      <c r="AB12" s="7"/>
      <c r="AC12" s="7">
        <v>1.5</v>
      </c>
      <c r="AD12" s="7"/>
      <c r="AE12" s="7"/>
      <c r="AF12" s="7"/>
      <c r="AG12" s="7"/>
      <c r="AH12" s="7"/>
      <c r="AI12" s="2">
        <f t="shared" si="0"/>
        <v>33.200000000000003</v>
      </c>
    </row>
    <row r="13" spans="1:35" x14ac:dyDescent="0.3">
      <c r="A13" s="26">
        <v>7</v>
      </c>
      <c r="B13" s="10" t="s">
        <v>62</v>
      </c>
      <c r="C13" s="9" t="s">
        <v>104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3">
      <c r="A14" s="26">
        <v>8</v>
      </c>
      <c r="B14" s="10" t="s">
        <v>62</v>
      </c>
      <c r="C14" s="9" t="s">
        <v>105</v>
      </c>
      <c r="D14" s="7">
        <v>1.8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1.8</v>
      </c>
    </row>
    <row r="15" spans="1:35" x14ac:dyDescent="0.3">
      <c r="A15" s="26">
        <v>9</v>
      </c>
      <c r="B15" s="10" t="s">
        <v>62</v>
      </c>
      <c r="C15" s="9" t="s">
        <v>106</v>
      </c>
      <c r="D15" s="7">
        <v>1.7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1.7</v>
      </c>
    </row>
    <row r="16" spans="1:35" x14ac:dyDescent="0.3">
      <c r="A16" s="26">
        <v>10</v>
      </c>
      <c r="B16" s="10" t="s">
        <v>62</v>
      </c>
      <c r="C16" s="9" t="s">
        <v>107</v>
      </c>
      <c r="D16" s="7"/>
      <c r="E16" s="7"/>
      <c r="F16" s="7"/>
      <c r="G16" s="7"/>
      <c r="H16" s="7">
        <v>1.1000000000000001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1.1000000000000001</v>
      </c>
    </row>
    <row r="17" spans="1:35" x14ac:dyDescent="0.3">
      <c r="A17" s="26">
        <v>11</v>
      </c>
      <c r="B17" s="10" t="s">
        <v>62</v>
      </c>
      <c r="C17" s="9" t="s">
        <v>110</v>
      </c>
      <c r="D17" s="7"/>
      <c r="E17" s="7"/>
      <c r="F17" s="7"/>
      <c r="G17" s="7"/>
      <c r="H17" s="7"/>
      <c r="I17" s="7"/>
      <c r="J17" s="7"/>
      <c r="K17" s="7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">
      <c r="A18" s="26">
        <v>12</v>
      </c>
      <c r="B18" s="8" t="s">
        <v>111</v>
      </c>
      <c r="C18" s="9" t="s">
        <v>108</v>
      </c>
      <c r="D18" s="7"/>
      <c r="E18" s="7"/>
      <c r="F18" s="7"/>
      <c r="G18" s="7"/>
      <c r="H18" s="7"/>
      <c r="I18" s="7"/>
      <c r="J18" s="7"/>
      <c r="K18" s="7">
        <v>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3">
      <c r="A19" s="26">
        <v>13</v>
      </c>
      <c r="B19" s="8" t="s">
        <v>111</v>
      </c>
      <c r="C19" s="9" t="s">
        <v>109</v>
      </c>
      <c r="D19" s="7"/>
      <c r="E19" s="7"/>
      <c r="F19" s="7"/>
      <c r="G19" s="7"/>
      <c r="H19" s="7"/>
      <c r="I19" s="7"/>
      <c r="J19" s="7"/>
      <c r="K19" s="7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">
      <c r="A20" s="26">
        <v>14</v>
      </c>
      <c r="B20" s="8" t="s">
        <v>112</v>
      </c>
      <c r="C20" s="8" t="s">
        <v>97</v>
      </c>
      <c r="D20" s="7"/>
      <c r="E20" s="7"/>
      <c r="F20" s="7"/>
      <c r="G20" s="7"/>
      <c r="H20" s="7"/>
      <c r="I20" s="7"/>
      <c r="J20" s="7"/>
      <c r="K20" s="7"/>
      <c r="L20" s="7">
        <v>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2</v>
      </c>
    </row>
    <row r="21" spans="1:35" x14ac:dyDescent="0.3">
      <c r="A21" s="26">
        <v>15</v>
      </c>
      <c r="B21" s="8" t="s">
        <v>175</v>
      </c>
      <c r="C21" s="9" t="s">
        <v>113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>
        <v>6</v>
      </c>
      <c r="AF21" s="7">
        <v>7</v>
      </c>
      <c r="AG21" s="7"/>
      <c r="AH21" s="7"/>
      <c r="AI21" s="2">
        <f t="shared" si="0"/>
        <v>13</v>
      </c>
    </row>
    <row r="22" spans="1:35" x14ac:dyDescent="0.3">
      <c r="A22" s="26">
        <v>16</v>
      </c>
      <c r="B22" s="8" t="s">
        <v>191</v>
      </c>
      <c r="C22" s="9" t="s">
        <v>114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>
        <v>4</v>
      </c>
      <c r="AF22" s="7">
        <v>4.5</v>
      </c>
      <c r="AG22" s="7"/>
      <c r="AH22" s="7"/>
      <c r="AI22" s="2">
        <f t="shared" si="0"/>
        <v>8.5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9.5</v>
      </c>
      <c r="F107" s="12">
        <f t="shared" si="1"/>
        <v>9</v>
      </c>
      <c r="G107" s="3">
        <f t="shared" si="1"/>
        <v>0</v>
      </c>
      <c r="H107" s="3">
        <f t="shared" si="1"/>
        <v>11</v>
      </c>
      <c r="I107" s="3">
        <f t="shared" si="1"/>
        <v>11</v>
      </c>
      <c r="J107" s="3">
        <f t="shared" si="1"/>
        <v>12</v>
      </c>
      <c r="K107" s="3">
        <f t="shared" si="1"/>
        <v>9</v>
      </c>
      <c r="L107" s="3">
        <f t="shared" si="1"/>
        <v>9.6999999999999993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11</v>
      </c>
      <c r="S107" s="3">
        <f t="shared" si="1"/>
        <v>9.3000000000000007</v>
      </c>
      <c r="T107" s="3">
        <f t="shared" si="1"/>
        <v>9.1999999999999993</v>
      </c>
      <c r="U107" s="3">
        <f t="shared" si="1"/>
        <v>0</v>
      </c>
      <c r="V107" s="3">
        <f t="shared" si="1"/>
        <v>9.4</v>
      </c>
      <c r="W107" s="3">
        <f t="shared" si="1"/>
        <v>9</v>
      </c>
      <c r="X107" s="3">
        <f t="shared" si="1"/>
        <v>11</v>
      </c>
      <c r="Y107" s="3">
        <f t="shared" si="1"/>
        <v>9.4</v>
      </c>
      <c r="Z107" s="3">
        <f t="shared" si="1"/>
        <v>9.1</v>
      </c>
      <c r="AA107" s="3">
        <f t="shared" si="1"/>
        <v>8</v>
      </c>
      <c r="AB107" s="3">
        <f t="shared" si="1"/>
        <v>0</v>
      </c>
      <c r="AC107" s="3">
        <f t="shared" si="1"/>
        <v>9</v>
      </c>
      <c r="AD107" s="3">
        <f t="shared" si="1"/>
        <v>9.1999999999999993</v>
      </c>
      <c r="AE107" s="3">
        <f t="shared" si="1"/>
        <v>11</v>
      </c>
      <c r="AF107" s="3">
        <f t="shared" si="1"/>
        <v>11.5</v>
      </c>
      <c r="AG107" s="3">
        <f t="shared" si="1"/>
        <v>0</v>
      </c>
      <c r="AH107" s="3">
        <f t="shared" si="1"/>
        <v>0</v>
      </c>
      <c r="AI107" s="1">
        <f>SUM(D107:AH107)</f>
        <v>206.8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7"/>
  <sheetViews>
    <sheetView zoomScale="85" zoomScaleNormal="85" workbookViewId="0">
      <pane xSplit="3" topLeftCell="T1" activePane="topRight" state="frozen"/>
      <selection pane="topRight" activeCell="B15" sqref="B15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131</v>
      </c>
      <c r="C7" s="15" t="s">
        <v>102</v>
      </c>
      <c r="D7" s="13"/>
      <c r="E7" s="5"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</v>
      </c>
    </row>
    <row r="8" spans="1:35" x14ac:dyDescent="0.3">
      <c r="A8" s="26">
        <v>2</v>
      </c>
      <c r="B8" s="9" t="s">
        <v>134</v>
      </c>
      <c r="C8" s="9" t="s">
        <v>99</v>
      </c>
      <c r="D8" s="7">
        <v>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">
      <c r="A9" s="26">
        <v>3</v>
      </c>
      <c r="B9" s="8" t="s">
        <v>175</v>
      </c>
      <c r="C9" s="9" t="s">
        <v>113</v>
      </c>
      <c r="D9" s="7">
        <v>6.5</v>
      </c>
      <c r="E9" s="7">
        <v>2</v>
      </c>
      <c r="F9" s="7"/>
      <c r="G9" s="7">
        <v>2</v>
      </c>
      <c r="H9" s="7"/>
      <c r="I9" s="7">
        <v>3.5</v>
      </c>
      <c r="J9" s="7">
        <v>3.5</v>
      </c>
      <c r="K9" s="7">
        <v>3</v>
      </c>
      <c r="L9" s="7"/>
      <c r="M9" s="7"/>
      <c r="N9" s="7">
        <v>4</v>
      </c>
      <c r="O9" s="7">
        <v>5</v>
      </c>
      <c r="P9" s="7">
        <v>1</v>
      </c>
      <c r="Q9" s="7">
        <v>4.5</v>
      </c>
      <c r="R9" s="7">
        <v>4</v>
      </c>
      <c r="S9" s="7"/>
      <c r="T9" s="7"/>
      <c r="U9" s="7">
        <v>2</v>
      </c>
      <c r="V9" s="7">
        <v>2</v>
      </c>
      <c r="W9" s="7">
        <v>2</v>
      </c>
      <c r="X9" s="7">
        <v>4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49</v>
      </c>
    </row>
    <row r="10" spans="1:35" x14ac:dyDescent="0.3">
      <c r="A10" s="26">
        <v>4</v>
      </c>
      <c r="B10" s="8" t="s">
        <v>191</v>
      </c>
      <c r="C10" s="9" t="s">
        <v>114</v>
      </c>
      <c r="D10" s="7">
        <v>2</v>
      </c>
      <c r="E10" s="7">
        <v>6</v>
      </c>
      <c r="F10" s="7"/>
      <c r="G10" s="7">
        <v>5</v>
      </c>
      <c r="H10" s="7">
        <v>1</v>
      </c>
      <c r="I10" s="7">
        <v>0.5</v>
      </c>
      <c r="J10" s="7">
        <v>0.5</v>
      </c>
      <c r="K10" s="7">
        <v>3</v>
      </c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20</v>
      </c>
    </row>
    <row r="11" spans="1:35" x14ac:dyDescent="0.3">
      <c r="A11" s="26">
        <v>5</v>
      </c>
      <c r="B11" s="8" t="s">
        <v>115</v>
      </c>
      <c r="C11" s="9" t="s">
        <v>117</v>
      </c>
      <c r="D11" s="7"/>
      <c r="E11" s="7"/>
      <c r="F11" s="7"/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3">
      <c r="A12" s="26">
        <v>6</v>
      </c>
      <c r="B12" s="8" t="s">
        <v>115</v>
      </c>
      <c r="C12" s="9" t="s">
        <v>116</v>
      </c>
      <c r="D12" s="7"/>
      <c r="E12" s="7"/>
      <c r="F12" s="7"/>
      <c r="G12" s="7">
        <v>1</v>
      </c>
      <c r="H12" s="7">
        <v>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</v>
      </c>
    </row>
    <row r="13" spans="1:35" x14ac:dyDescent="0.3">
      <c r="A13" s="26">
        <v>7</v>
      </c>
      <c r="B13" s="8" t="s">
        <v>118</v>
      </c>
      <c r="C13" s="9" t="s">
        <v>121</v>
      </c>
      <c r="D13" s="7"/>
      <c r="E13" s="7"/>
      <c r="F13" s="7"/>
      <c r="G13" s="7"/>
      <c r="H13" s="7">
        <v>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">
      <c r="A14" s="26">
        <v>8</v>
      </c>
      <c r="B14" s="8" t="s">
        <v>119</v>
      </c>
      <c r="C14" s="9" t="s">
        <v>122</v>
      </c>
      <c r="D14" s="7"/>
      <c r="E14" s="7"/>
      <c r="F14" s="7"/>
      <c r="G14" s="7"/>
      <c r="H14" s="7">
        <v>1</v>
      </c>
      <c r="I14" s="7">
        <v>0.5</v>
      </c>
      <c r="J14" s="7">
        <v>0.5</v>
      </c>
      <c r="K14" s="7"/>
      <c r="L14" s="7"/>
      <c r="M14" s="7"/>
      <c r="N14" s="7">
        <v>4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6</v>
      </c>
    </row>
    <row r="15" spans="1:35" x14ac:dyDescent="0.3">
      <c r="A15" s="26">
        <v>9</v>
      </c>
      <c r="B15" s="8" t="s">
        <v>34</v>
      </c>
      <c r="C15" s="9" t="s">
        <v>120</v>
      </c>
      <c r="D15" s="7"/>
      <c r="E15" s="7"/>
      <c r="F15" s="7"/>
      <c r="G15" s="7"/>
      <c r="H15" s="7">
        <v>3</v>
      </c>
      <c r="I15" s="7">
        <v>2</v>
      </c>
      <c r="J15" s="7">
        <v>2</v>
      </c>
      <c r="K15" s="7">
        <v>2</v>
      </c>
      <c r="L15" s="7"/>
      <c r="M15" s="7"/>
      <c r="N15" s="7"/>
      <c r="O15" s="7">
        <v>2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11</v>
      </c>
    </row>
    <row r="16" spans="1:35" x14ac:dyDescent="0.3">
      <c r="A16" s="26">
        <v>10</v>
      </c>
      <c r="B16" s="8" t="s">
        <v>115</v>
      </c>
      <c r="C16" s="8" t="s">
        <v>127</v>
      </c>
      <c r="D16" s="7"/>
      <c r="E16" s="7"/>
      <c r="F16" s="7"/>
      <c r="G16" s="7"/>
      <c r="H16" s="7"/>
      <c r="I16" s="7">
        <v>2.5</v>
      </c>
      <c r="J16" s="7">
        <v>2.5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6</v>
      </c>
    </row>
    <row r="17" spans="1:35" x14ac:dyDescent="0.3">
      <c r="A17" s="26">
        <v>11</v>
      </c>
      <c r="B17" s="8" t="s">
        <v>123</v>
      </c>
      <c r="C17" s="9" t="s">
        <v>124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>
        <v>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">
      <c r="A18" s="26">
        <v>12</v>
      </c>
      <c r="B18" s="8" t="s">
        <v>125</v>
      </c>
      <c r="C18" s="9" t="s">
        <v>126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11</v>
      </c>
      <c r="Q18" s="7">
        <v>4</v>
      </c>
      <c r="R18" s="7"/>
      <c r="S18" s="7"/>
      <c r="T18" s="7"/>
      <c r="U18" s="7"/>
      <c r="V18" s="7"/>
      <c r="W18" s="7">
        <v>5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20</v>
      </c>
    </row>
    <row r="19" spans="1:35" x14ac:dyDescent="0.3">
      <c r="A19" s="26">
        <v>13</v>
      </c>
      <c r="B19" s="8" t="s">
        <v>129</v>
      </c>
      <c r="C19" s="9" t="s">
        <v>128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v>3.5</v>
      </c>
      <c r="R19" s="7">
        <v>6</v>
      </c>
      <c r="S19" s="7"/>
      <c r="T19" s="7"/>
      <c r="U19" s="7">
        <v>8</v>
      </c>
      <c r="V19" s="7">
        <v>8</v>
      </c>
      <c r="W19" s="7">
        <v>4.5</v>
      </c>
      <c r="X19" s="7">
        <v>1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31</v>
      </c>
    </row>
    <row r="20" spans="1:35" x14ac:dyDescent="0.3">
      <c r="A20" s="26">
        <v>14</v>
      </c>
      <c r="B20" s="8" t="s">
        <v>136</v>
      </c>
      <c r="C20" s="8" t="s">
        <v>137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3</v>
      </c>
      <c r="Y20" s="7">
        <v>1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3">
      <c r="A21" s="26">
        <v>15</v>
      </c>
      <c r="B21" s="8" t="s">
        <v>139</v>
      </c>
      <c r="C21" s="9" t="s">
        <v>138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>
        <v>4</v>
      </c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6</v>
      </c>
    </row>
    <row r="22" spans="1:35" x14ac:dyDescent="0.3">
      <c r="A22" s="26">
        <v>16</v>
      </c>
      <c r="B22" s="8" t="s">
        <v>139</v>
      </c>
      <c r="C22" s="8" t="s">
        <v>140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>
        <v>4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3">
      <c r="A23" s="26">
        <v>17</v>
      </c>
      <c r="B23" s="8" t="s">
        <v>139</v>
      </c>
      <c r="C23" s="8" t="s">
        <v>142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>
        <v>5.5</v>
      </c>
      <c r="AA23" s="7"/>
      <c r="AB23" s="7"/>
      <c r="AC23" s="7"/>
      <c r="AD23" s="7"/>
      <c r="AE23" s="7"/>
      <c r="AF23" s="7"/>
      <c r="AG23" s="7"/>
      <c r="AH23" s="7"/>
      <c r="AI23" s="2">
        <f t="shared" si="0"/>
        <v>5.5</v>
      </c>
    </row>
    <row r="24" spans="1:35" x14ac:dyDescent="0.3">
      <c r="A24" s="26">
        <v>18</v>
      </c>
      <c r="B24" s="8" t="s">
        <v>139</v>
      </c>
      <c r="C24" s="9" t="s">
        <v>141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3.5</v>
      </c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3">
      <c r="A25" s="26">
        <v>19</v>
      </c>
      <c r="B25" s="8" t="s">
        <v>139</v>
      </c>
      <c r="C25" s="6" t="s">
        <v>143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>
        <v>9</v>
      </c>
      <c r="AB25" s="7">
        <v>11.5</v>
      </c>
      <c r="AC25" s="7">
        <v>11.9</v>
      </c>
      <c r="AD25" s="7">
        <v>3</v>
      </c>
      <c r="AE25" s="7"/>
      <c r="AF25" s="7"/>
      <c r="AG25" s="7"/>
      <c r="AH25" s="7"/>
      <c r="AI25" s="2">
        <f t="shared" si="0"/>
        <v>35.4</v>
      </c>
    </row>
    <row r="26" spans="1:35" x14ac:dyDescent="0.3">
      <c r="A26" s="26">
        <v>20</v>
      </c>
      <c r="B26" s="8" t="s">
        <v>139</v>
      </c>
      <c r="C26" s="9" t="s">
        <v>145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>
        <v>4</v>
      </c>
      <c r="AE26" s="7"/>
      <c r="AF26" s="7"/>
      <c r="AG26" s="7"/>
      <c r="AH26" s="7"/>
      <c r="AI26" s="2">
        <f t="shared" si="0"/>
        <v>4</v>
      </c>
    </row>
    <row r="27" spans="1:35" x14ac:dyDescent="0.3">
      <c r="A27" s="26">
        <v>21</v>
      </c>
      <c r="B27" s="8" t="s">
        <v>139</v>
      </c>
      <c r="C27" s="9" t="s">
        <v>144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>
        <v>4.5</v>
      </c>
      <c r="AE27" s="7">
        <v>9.1</v>
      </c>
      <c r="AF27" s="7"/>
      <c r="AG27" s="7"/>
      <c r="AH27" s="7"/>
      <c r="AI27" s="2">
        <f t="shared" si="0"/>
        <v>13.6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44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43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12</v>
      </c>
      <c r="Q107" s="3">
        <f t="shared" si="1"/>
        <v>12</v>
      </c>
      <c r="R107" s="3">
        <f t="shared" si="1"/>
        <v>10</v>
      </c>
      <c r="S107" s="3">
        <f t="shared" si="1"/>
        <v>0</v>
      </c>
      <c r="T107" s="3">
        <f t="shared" si="1"/>
        <v>0</v>
      </c>
      <c r="U107" s="3">
        <f t="shared" si="1"/>
        <v>10</v>
      </c>
      <c r="V107" s="3">
        <f t="shared" si="1"/>
        <v>10</v>
      </c>
      <c r="W107" s="3">
        <f t="shared" si="1"/>
        <v>11.5</v>
      </c>
      <c r="X107" s="3">
        <f t="shared" si="1"/>
        <v>11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11.5</v>
      </c>
      <c r="AC107" s="3">
        <f t="shared" si="1"/>
        <v>11.9</v>
      </c>
      <c r="AD107" s="3">
        <f t="shared" si="1"/>
        <v>11.5</v>
      </c>
      <c r="AE107" s="3">
        <f t="shared" si="1"/>
        <v>9.1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229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7"/>
  <sheetViews>
    <sheetView zoomScale="85" zoomScaleNormal="85" workbookViewId="0">
      <pane xSplit="3" topLeftCell="T1" activePane="topRight" state="frozen"/>
      <selection pane="topRight" activeCell="B35" sqref="B35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139</v>
      </c>
      <c r="C7" s="9" t="s">
        <v>144</v>
      </c>
      <c r="D7" s="13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10</v>
      </c>
    </row>
    <row r="8" spans="1:35" x14ac:dyDescent="0.3">
      <c r="A8" s="26">
        <v>2</v>
      </c>
      <c r="B8" s="8" t="s">
        <v>139</v>
      </c>
      <c r="C8" s="9" t="s">
        <v>146</v>
      </c>
      <c r="D8" s="44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">
      <c r="A9" s="26">
        <v>3</v>
      </c>
      <c r="B9" s="8" t="s">
        <v>139</v>
      </c>
      <c r="C9" s="9" t="s">
        <v>147</v>
      </c>
      <c r="D9" s="7"/>
      <c r="E9" s="7">
        <v>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8" t="s">
        <v>139</v>
      </c>
      <c r="C10" s="9" t="s">
        <v>148</v>
      </c>
      <c r="D10" s="7"/>
      <c r="E10" s="7">
        <v>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</v>
      </c>
    </row>
    <row r="11" spans="1:35" x14ac:dyDescent="0.3">
      <c r="A11" s="26">
        <v>5</v>
      </c>
      <c r="B11" s="8" t="s">
        <v>139</v>
      </c>
      <c r="C11" s="9" t="s">
        <v>149</v>
      </c>
      <c r="D11" s="7"/>
      <c r="E11" s="7">
        <v>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</v>
      </c>
    </row>
    <row r="12" spans="1:35" x14ac:dyDescent="0.3">
      <c r="A12" s="26">
        <v>6</v>
      </c>
      <c r="B12" s="8" t="s">
        <v>139</v>
      </c>
      <c r="C12" s="9" t="s">
        <v>150</v>
      </c>
      <c r="D12" s="7"/>
      <c r="E12" s="7">
        <v>2.4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2.4</v>
      </c>
    </row>
    <row r="13" spans="1:35" x14ac:dyDescent="0.3">
      <c r="A13" s="26">
        <v>7</v>
      </c>
      <c r="B13" s="8" t="s">
        <v>175</v>
      </c>
      <c r="C13" s="9" t="s">
        <v>151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>
        <v>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3">
      <c r="A14" s="26">
        <v>8</v>
      </c>
      <c r="B14" s="8" t="s">
        <v>175</v>
      </c>
      <c r="C14" s="9" t="s">
        <v>152</v>
      </c>
      <c r="D14" s="7"/>
      <c r="E14" s="7"/>
      <c r="F14" s="7">
        <v>5.5</v>
      </c>
      <c r="G14" s="7">
        <v>2.5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8</v>
      </c>
    </row>
    <row r="15" spans="1:35" x14ac:dyDescent="0.3">
      <c r="A15" s="26">
        <v>9</v>
      </c>
      <c r="B15" s="8" t="s">
        <v>139</v>
      </c>
      <c r="C15" s="9" t="s">
        <v>153</v>
      </c>
      <c r="D15" s="7"/>
      <c r="E15" s="7"/>
      <c r="F15" s="7">
        <v>2</v>
      </c>
      <c r="G15" s="7">
        <v>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4</v>
      </c>
    </row>
    <row r="16" spans="1:35" x14ac:dyDescent="0.3">
      <c r="A16" s="26">
        <v>10</v>
      </c>
      <c r="B16" s="8" t="s">
        <v>139</v>
      </c>
      <c r="C16" s="8" t="s">
        <v>154</v>
      </c>
      <c r="D16" s="7"/>
      <c r="E16" s="7"/>
      <c r="F16" s="44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">
      <c r="A17" s="26">
        <v>11</v>
      </c>
      <c r="B17" s="8" t="s">
        <v>139</v>
      </c>
      <c r="C17" s="9" t="s">
        <v>155</v>
      </c>
      <c r="D17" s="7"/>
      <c r="E17" s="7"/>
      <c r="F17" s="7"/>
      <c r="G17" s="7">
        <v>4.5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4.5</v>
      </c>
    </row>
    <row r="18" spans="1:35" x14ac:dyDescent="0.3">
      <c r="A18" s="26">
        <v>12</v>
      </c>
      <c r="B18" s="8" t="s">
        <v>139</v>
      </c>
      <c r="C18" s="9" t="s">
        <v>156</v>
      </c>
      <c r="D18" s="7"/>
      <c r="E18" s="7"/>
      <c r="F18" s="7"/>
      <c r="G18" s="7"/>
      <c r="H18" s="7">
        <v>5.5</v>
      </c>
      <c r="I18" s="7"/>
      <c r="J18" s="7"/>
      <c r="K18" s="7">
        <v>2.2000000000000002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7.7</v>
      </c>
    </row>
    <row r="19" spans="1:35" x14ac:dyDescent="0.3">
      <c r="A19" s="26">
        <v>13</v>
      </c>
      <c r="B19" s="8" t="s">
        <v>139</v>
      </c>
      <c r="C19" s="9" t="s">
        <v>157</v>
      </c>
      <c r="D19" s="7"/>
      <c r="E19" s="7"/>
      <c r="F19" s="7"/>
      <c r="G19" s="7"/>
      <c r="H19" s="7">
        <v>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3">
      <c r="A20" s="26">
        <v>14</v>
      </c>
      <c r="B20" s="8" t="s">
        <v>139</v>
      </c>
      <c r="C20" s="8" t="s">
        <v>154</v>
      </c>
      <c r="D20" s="7"/>
      <c r="E20" s="7"/>
      <c r="F20" s="7"/>
      <c r="G20" s="7"/>
      <c r="H20" s="7">
        <v>2</v>
      </c>
      <c r="I20" s="7"/>
      <c r="J20" s="7"/>
      <c r="K20" s="7">
        <v>4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3">
      <c r="A21" s="26">
        <v>15</v>
      </c>
      <c r="B21" s="8" t="s">
        <v>139</v>
      </c>
      <c r="C21" s="9" t="s">
        <v>158</v>
      </c>
      <c r="D21" s="7"/>
      <c r="E21" s="7"/>
      <c r="F21" s="7"/>
      <c r="G21" s="7"/>
      <c r="H21" s="7"/>
      <c r="I21" s="7"/>
      <c r="J21" s="7"/>
      <c r="K21" s="7">
        <v>5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5</v>
      </c>
    </row>
    <row r="22" spans="1:35" x14ac:dyDescent="0.3">
      <c r="A22" s="26">
        <v>16</v>
      </c>
      <c r="B22" s="8" t="s">
        <v>175</v>
      </c>
      <c r="C22" s="8" t="s">
        <v>159</v>
      </c>
      <c r="D22" s="7"/>
      <c r="E22" s="7"/>
      <c r="F22" s="7"/>
      <c r="G22" s="7"/>
      <c r="H22" s="7"/>
      <c r="I22" s="7"/>
      <c r="J22" s="7"/>
      <c r="K22" s="7"/>
      <c r="L22" s="7">
        <v>3.8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3.8</v>
      </c>
    </row>
    <row r="23" spans="1:35" x14ac:dyDescent="0.3">
      <c r="A23" s="26">
        <v>17</v>
      </c>
      <c r="B23" s="8" t="s">
        <v>139</v>
      </c>
      <c r="C23" s="8" t="s">
        <v>160</v>
      </c>
      <c r="D23" s="7"/>
      <c r="E23" s="7"/>
      <c r="F23" s="7"/>
      <c r="G23" s="7"/>
      <c r="H23" s="7"/>
      <c r="I23" s="7"/>
      <c r="J23" s="7"/>
      <c r="K23" s="7"/>
      <c r="L23" s="7">
        <v>5.4</v>
      </c>
      <c r="M23" s="7">
        <v>11.3</v>
      </c>
      <c r="N23" s="7">
        <v>8</v>
      </c>
      <c r="O23" s="7">
        <v>1</v>
      </c>
      <c r="P23" s="7"/>
      <c r="Q23" s="7"/>
      <c r="R23" s="7">
        <v>3</v>
      </c>
      <c r="S23" s="7">
        <v>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30.700000000000003</v>
      </c>
    </row>
    <row r="24" spans="1:35" x14ac:dyDescent="0.3">
      <c r="A24" s="26">
        <v>18</v>
      </c>
      <c r="B24" s="8" t="s">
        <v>139</v>
      </c>
      <c r="C24" s="9" t="s">
        <v>161</v>
      </c>
      <c r="D24" s="7"/>
      <c r="E24" s="44"/>
      <c r="F24" s="7"/>
      <c r="G24" s="7"/>
      <c r="H24" s="7"/>
      <c r="I24" s="7"/>
      <c r="J24" s="7"/>
      <c r="K24" s="7"/>
      <c r="L24" s="7"/>
      <c r="M24" s="7"/>
      <c r="N24" s="7">
        <v>1</v>
      </c>
      <c r="O24" s="7">
        <v>4</v>
      </c>
      <c r="P24" s="7"/>
      <c r="Q24" s="7"/>
      <c r="R24" s="7">
        <v>3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3">
      <c r="A25" s="26">
        <v>19</v>
      </c>
      <c r="B25" s="8" t="s">
        <v>139</v>
      </c>
      <c r="C25" s="6" t="s">
        <v>162</v>
      </c>
      <c r="D25" s="7"/>
      <c r="E25" s="44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5</v>
      </c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8</v>
      </c>
    </row>
    <row r="26" spans="1:35" x14ac:dyDescent="0.3">
      <c r="A26" s="26">
        <v>20</v>
      </c>
      <c r="B26" s="8" t="s">
        <v>139</v>
      </c>
      <c r="C26" s="9" t="s">
        <v>163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3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1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3">
      <c r="A27" s="26">
        <v>21</v>
      </c>
      <c r="B27" s="8" t="s">
        <v>139</v>
      </c>
      <c r="C27" s="9" t="s">
        <v>164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2.4</v>
      </c>
      <c r="P27" s="7">
        <v>3.3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5.6999999999999993</v>
      </c>
    </row>
    <row r="28" spans="1:35" x14ac:dyDescent="0.3">
      <c r="A28" s="26">
        <v>22</v>
      </c>
      <c r="B28" s="8" t="s">
        <v>139</v>
      </c>
      <c r="C28" s="9" t="s">
        <v>165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44"/>
      <c r="O28" s="7"/>
      <c r="P28" s="7">
        <v>3.2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3.2</v>
      </c>
    </row>
    <row r="29" spans="1:35" x14ac:dyDescent="0.3">
      <c r="A29" s="26">
        <v>23</v>
      </c>
      <c r="B29" s="8" t="s">
        <v>53</v>
      </c>
      <c r="C29" s="9" t="s">
        <v>166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1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3">
      <c r="A30" s="26">
        <v>24</v>
      </c>
      <c r="B30" s="8" t="s">
        <v>139</v>
      </c>
      <c r="C30" s="6" t="s">
        <v>167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1</v>
      </c>
      <c r="T30" s="7">
        <v>0.5</v>
      </c>
      <c r="U30" s="7">
        <v>1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2.5</v>
      </c>
    </row>
    <row r="31" spans="1:35" x14ac:dyDescent="0.3">
      <c r="A31" s="26">
        <v>25</v>
      </c>
      <c r="B31" s="8" t="s">
        <v>139</v>
      </c>
      <c r="C31" s="9" t="s">
        <v>148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/>
      <c r="U31" s="7"/>
      <c r="V31" s="7"/>
      <c r="W31" s="7"/>
      <c r="X31" s="7"/>
      <c r="Y31" s="7"/>
      <c r="Z31" s="7"/>
      <c r="AA31" s="7"/>
      <c r="AB31" s="7"/>
      <c r="AC31" s="7">
        <v>0.5</v>
      </c>
      <c r="AD31" s="7"/>
      <c r="AE31" s="7"/>
      <c r="AF31" s="7"/>
      <c r="AG31" s="7"/>
      <c r="AH31" s="7"/>
      <c r="AI31" s="2">
        <f t="shared" si="0"/>
        <v>2.5</v>
      </c>
    </row>
    <row r="32" spans="1:35" x14ac:dyDescent="0.3">
      <c r="A32" s="26">
        <v>26</v>
      </c>
      <c r="B32" s="8" t="s">
        <v>139</v>
      </c>
      <c r="C32" s="8" t="s">
        <v>168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>
        <v>4</v>
      </c>
      <c r="U32" s="7"/>
      <c r="V32" s="7"/>
      <c r="W32" s="7"/>
      <c r="X32" s="7"/>
      <c r="Y32" s="7">
        <v>2</v>
      </c>
      <c r="Z32" s="7"/>
      <c r="AA32" s="7">
        <v>3</v>
      </c>
      <c r="AB32" s="7">
        <v>3</v>
      </c>
      <c r="AC32" s="7">
        <v>3.5</v>
      </c>
      <c r="AD32" s="7"/>
      <c r="AE32" s="7"/>
      <c r="AF32" s="7">
        <v>2</v>
      </c>
      <c r="AG32" s="7">
        <v>1</v>
      </c>
      <c r="AH32" s="7"/>
      <c r="AI32" s="2">
        <f t="shared" si="0"/>
        <v>20.5</v>
      </c>
    </row>
    <row r="33" spans="1:35" x14ac:dyDescent="0.3">
      <c r="A33" s="26">
        <v>27</v>
      </c>
      <c r="B33" s="8" t="s">
        <v>139</v>
      </c>
      <c r="C33" s="8" t="s">
        <v>170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44"/>
      <c r="T33" s="7">
        <v>0.5</v>
      </c>
      <c r="U33" s="7">
        <v>2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2.5</v>
      </c>
    </row>
    <row r="34" spans="1:35" x14ac:dyDescent="0.3">
      <c r="A34" s="26">
        <v>28</v>
      </c>
      <c r="B34" s="8" t="s">
        <v>139</v>
      </c>
      <c r="C34" s="8" t="s">
        <v>169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>
        <v>2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3">
      <c r="A35" s="26">
        <v>29</v>
      </c>
      <c r="B35" s="8" t="s">
        <v>139</v>
      </c>
      <c r="C35" s="8" t="s">
        <v>171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>
        <v>1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3">
      <c r="A36" s="26">
        <v>30</v>
      </c>
      <c r="B36" s="8" t="s">
        <v>139</v>
      </c>
      <c r="C36" s="9" t="s">
        <v>143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>
        <v>0.5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3">
      <c r="A37" s="26">
        <v>31</v>
      </c>
      <c r="B37" s="8" t="s">
        <v>139</v>
      </c>
      <c r="C37" s="9" t="s">
        <v>145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>
        <v>0.5</v>
      </c>
      <c r="V37" s="7">
        <v>0.5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3">
      <c r="A38" s="26">
        <v>32</v>
      </c>
      <c r="B38" s="8" t="s">
        <v>139</v>
      </c>
      <c r="C38" s="10" t="s">
        <v>172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>
        <v>1</v>
      </c>
      <c r="V38" s="11"/>
      <c r="W38" s="11"/>
      <c r="X38" s="11"/>
      <c r="Y38" s="11">
        <v>0.2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1.2</v>
      </c>
    </row>
    <row r="39" spans="1:35" x14ac:dyDescent="0.3">
      <c r="A39" s="26">
        <v>33</v>
      </c>
      <c r="B39" s="8" t="s">
        <v>139</v>
      </c>
      <c r="C39" s="10" t="s">
        <v>173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1</v>
      </c>
      <c r="V39" s="11"/>
      <c r="W39" s="11"/>
      <c r="X39" s="11"/>
      <c r="Y39" s="11">
        <v>0.3</v>
      </c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1.3</v>
      </c>
    </row>
    <row r="40" spans="1:35" x14ac:dyDescent="0.3">
      <c r="A40" s="26">
        <v>34</v>
      </c>
      <c r="B40" s="8" t="s">
        <v>175</v>
      </c>
      <c r="C40" s="10" t="s">
        <v>152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2.5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2.5</v>
      </c>
    </row>
    <row r="41" spans="1:35" x14ac:dyDescent="0.3">
      <c r="A41" s="26">
        <v>35</v>
      </c>
      <c r="B41" s="8" t="s">
        <v>175</v>
      </c>
      <c r="C41" s="10" t="s">
        <v>174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3">
      <c r="A42" s="26">
        <v>36</v>
      </c>
      <c r="B42" s="8" t="s">
        <v>139</v>
      </c>
      <c r="C42" s="10" t="s">
        <v>176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1</v>
      </c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1.5</v>
      </c>
    </row>
    <row r="43" spans="1:35" x14ac:dyDescent="0.3">
      <c r="A43" s="26">
        <v>37</v>
      </c>
      <c r="B43" s="10" t="s">
        <v>62</v>
      </c>
      <c r="C43" s="14" t="s">
        <v>177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4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3">
      <c r="A44" s="26">
        <v>38</v>
      </c>
      <c r="B44" s="10" t="s">
        <v>62</v>
      </c>
      <c r="C44" s="10" t="s">
        <v>178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5"/>
      <c r="W44" s="11"/>
      <c r="X44" s="11"/>
      <c r="Y44" s="11">
        <v>0.5</v>
      </c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3">
      <c r="A45" s="26">
        <v>39</v>
      </c>
      <c r="B45" s="10" t="s">
        <v>62</v>
      </c>
      <c r="C45" s="10" t="s">
        <v>179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>
        <v>0.2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0.2</v>
      </c>
    </row>
    <row r="46" spans="1:35" x14ac:dyDescent="0.3">
      <c r="A46" s="26">
        <v>40</v>
      </c>
      <c r="B46" s="10" t="s">
        <v>62</v>
      </c>
      <c r="C46" s="10" t="s">
        <v>67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>
        <v>0.3</v>
      </c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0.3</v>
      </c>
    </row>
    <row r="47" spans="1:35" x14ac:dyDescent="0.3">
      <c r="A47" s="26">
        <v>41</v>
      </c>
      <c r="B47" s="10" t="s">
        <v>62</v>
      </c>
      <c r="C47" s="10" t="s">
        <v>90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0.3</v>
      </c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0.3</v>
      </c>
    </row>
    <row r="48" spans="1:35" x14ac:dyDescent="0.3">
      <c r="A48" s="26">
        <v>42</v>
      </c>
      <c r="B48" s="10" t="s">
        <v>62</v>
      </c>
      <c r="C48" s="10" t="s">
        <v>95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>
        <v>0.2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0.2</v>
      </c>
    </row>
    <row r="49" spans="1:35" x14ac:dyDescent="0.3">
      <c r="A49" s="26">
        <v>43</v>
      </c>
      <c r="B49" s="10" t="s">
        <v>62</v>
      </c>
      <c r="C49" s="10" t="s">
        <v>180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>
        <v>0.5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3">
      <c r="A50" s="26">
        <v>44</v>
      </c>
      <c r="B50" s="10" t="s">
        <v>181</v>
      </c>
      <c r="C50" s="10" t="s">
        <v>182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3">
      <c r="A51" s="26">
        <v>45</v>
      </c>
      <c r="B51" s="10" t="s">
        <v>46</v>
      </c>
      <c r="C51" s="10" t="s">
        <v>183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>
        <v>1.5</v>
      </c>
      <c r="AA51" s="11"/>
      <c r="AB51" s="11"/>
      <c r="AC51" s="11"/>
      <c r="AD51" s="11"/>
      <c r="AE51" s="11"/>
      <c r="AF51" s="11">
        <v>1</v>
      </c>
      <c r="AG51" s="11">
        <v>1</v>
      </c>
      <c r="AH51" s="11"/>
      <c r="AI51" s="2">
        <f t="shared" si="0"/>
        <v>4.5</v>
      </c>
    </row>
    <row r="52" spans="1:35" x14ac:dyDescent="0.3">
      <c r="A52" s="26">
        <v>46</v>
      </c>
      <c r="B52" s="10" t="s">
        <v>46</v>
      </c>
      <c r="C52" s="10" t="s">
        <v>184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>
        <v>1</v>
      </c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">
      <c r="A53" s="26">
        <v>47</v>
      </c>
      <c r="B53" s="10" t="s">
        <v>185</v>
      </c>
      <c r="C53" s="10" t="s">
        <v>186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>
        <v>2</v>
      </c>
      <c r="AA53" s="11">
        <v>1.5</v>
      </c>
      <c r="AB53" s="11"/>
      <c r="AC53" s="11"/>
      <c r="AD53" s="11"/>
      <c r="AE53" s="11"/>
      <c r="AF53" s="11"/>
      <c r="AG53" s="11"/>
      <c r="AH53" s="11"/>
      <c r="AI53" s="2">
        <f t="shared" si="0"/>
        <v>3.5</v>
      </c>
    </row>
    <row r="54" spans="1:35" x14ac:dyDescent="0.3">
      <c r="A54" s="26">
        <v>48</v>
      </c>
      <c r="B54" s="10" t="s">
        <v>185</v>
      </c>
      <c r="C54" s="10" t="s">
        <v>187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>
        <v>2</v>
      </c>
      <c r="AA54" s="11">
        <v>1.5</v>
      </c>
      <c r="AB54" s="11"/>
      <c r="AC54" s="11"/>
      <c r="AD54" s="11"/>
      <c r="AE54" s="11"/>
      <c r="AF54" s="11"/>
      <c r="AG54" s="11"/>
      <c r="AH54" s="11"/>
      <c r="AI54" s="2">
        <f t="shared" si="0"/>
        <v>3.5</v>
      </c>
    </row>
    <row r="55" spans="1:35" x14ac:dyDescent="0.3">
      <c r="A55" s="26">
        <v>49</v>
      </c>
      <c r="B55" s="10" t="s">
        <v>62</v>
      </c>
      <c r="C55" s="10" t="s">
        <v>188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1.5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1.5</v>
      </c>
    </row>
    <row r="56" spans="1:35" x14ac:dyDescent="0.3">
      <c r="A56" s="26">
        <v>50</v>
      </c>
      <c r="B56" s="10" t="s">
        <v>62</v>
      </c>
      <c r="C56" s="10" t="s">
        <v>107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1</v>
      </c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3">
      <c r="A57" s="26">
        <v>51</v>
      </c>
      <c r="B57" s="8" t="s">
        <v>34</v>
      </c>
      <c r="C57" s="10" t="s">
        <v>189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2</v>
      </c>
      <c r="AB57" s="11"/>
      <c r="AC57" s="11"/>
      <c r="AD57" s="11"/>
      <c r="AE57" s="11"/>
      <c r="AF57" s="11"/>
      <c r="AG57" s="11"/>
      <c r="AH57" s="11"/>
      <c r="AI57" s="2">
        <f t="shared" si="0"/>
        <v>2</v>
      </c>
    </row>
    <row r="58" spans="1:35" x14ac:dyDescent="0.3">
      <c r="A58" s="26">
        <v>52</v>
      </c>
      <c r="B58" s="8" t="s">
        <v>139</v>
      </c>
      <c r="C58" s="8" t="s">
        <v>190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>
        <v>4.5</v>
      </c>
      <c r="AD58" s="11"/>
      <c r="AE58" s="11"/>
      <c r="AF58" s="11">
        <v>2</v>
      </c>
      <c r="AG58" s="11">
        <v>4</v>
      </c>
      <c r="AH58" s="11"/>
      <c r="AI58" s="2">
        <f t="shared" si="0"/>
        <v>11.5</v>
      </c>
    </row>
    <row r="59" spans="1:35" x14ac:dyDescent="0.3">
      <c r="A59" s="26">
        <v>53</v>
      </c>
      <c r="B59" s="10" t="s">
        <v>62</v>
      </c>
      <c r="C59" s="10" t="s">
        <v>69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45"/>
      <c r="AB59" s="11">
        <v>5</v>
      </c>
      <c r="AC59" s="11">
        <v>1</v>
      </c>
      <c r="AD59" s="11"/>
      <c r="AE59" s="11"/>
      <c r="AF59" s="11">
        <v>1</v>
      </c>
      <c r="AG59" s="11"/>
      <c r="AH59" s="11"/>
      <c r="AI59" s="2">
        <f t="shared" si="0"/>
        <v>7</v>
      </c>
    </row>
    <row r="60" spans="1:35" x14ac:dyDescent="0.3">
      <c r="A60" s="26">
        <v>54</v>
      </c>
      <c r="B60" s="8" t="s">
        <v>139</v>
      </c>
      <c r="C60" s="10" t="s">
        <v>192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>
        <v>1</v>
      </c>
      <c r="AG60" s="11"/>
      <c r="AH60" s="11"/>
      <c r="AI60" s="2">
        <f t="shared" si="0"/>
        <v>1</v>
      </c>
    </row>
    <row r="61" spans="1:35" x14ac:dyDescent="0.3">
      <c r="A61" s="26">
        <v>55</v>
      </c>
      <c r="B61" s="10" t="s">
        <v>193</v>
      </c>
      <c r="C61" s="10" t="s">
        <v>194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>
        <v>1</v>
      </c>
      <c r="AG61" s="11"/>
      <c r="AH61" s="11"/>
      <c r="AI61" s="2">
        <f t="shared" si="0"/>
        <v>1</v>
      </c>
    </row>
    <row r="62" spans="1:35" x14ac:dyDescent="0.3">
      <c r="A62" s="26">
        <v>56</v>
      </c>
      <c r="B62" s="10" t="s">
        <v>193</v>
      </c>
      <c r="C62" s="10" t="s">
        <v>195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1</v>
      </c>
      <c r="AG62" s="11"/>
      <c r="AH62" s="11"/>
      <c r="AI62" s="2">
        <f t="shared" si="0"/>
        <v>1</v>
      </c>
    </row>
    <row r="63" spans="1:35" x14ac:dyDescent="0.3">
      <c r="A63" s="26">
        <v>57</v>
      </c>
      <c r="B63" s="10" t="s">
        <v>62</v>
      </c>
      <c r="C63" s="10" t="s">
        <v>196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>
        <v>1</v>
      </c>
      <c r="AH63" s="11"/>
      <c r="AI63" s="2">
        <f t="shared" si="0"/>
        <v>1</v>
      </c>
    </row>
    <row r="64" spans="1:35" x14ac:dyDescent="0.3">
      <c r="A64" s="26">
        <v>58</v>
      </c>
      <c r="B64" s="8" t="s">
        <v>175</v>
      </c>
      <c r="C64" s="10" t="s">
        <v>197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>
        <v>2</v>
      </c>
      <c r="AH64" s="11"/>
      <c r="AI64" s="2">
        <f t="shared" si="0"/>
        <v>2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10</v>
      </c>
      <c r="E107" s="12">
        <f t="shared" si="1"/>
        <v>11.4</v>
      </c>
      <c r="F107" s="12">
        <f t="shared" si="1"/>
        <v>9.5</v>
      </c>
      <c r="G107" s="3">
        <f t="shared" si="1"/>
        <v>9.5</v>
      </c>
      <c r="H107" s="3">
        <f t="shared" si="1"/>
        <v>9.5</v>
      </c>
      <c r="I107" s="3">
        <f t="shared" si="1"/>
        <v>0</v>
      </c>
      <c r="J107" s="3">
        <f t="shared" si="1"/>
        <v>0</v>
      </c>
      <c r="K107" s="3">
        <f t="shared" si="1"/>
        <v>11.2</v>
      </c>
      <c r="L107" s="3">
        <f t="shared" si="1"/>
        <v>9.1999999999999993</v>
      </c>
      <c r="M107" s="3">
        <f t="shared" si="1"/>
        <v>11.3</v>
      </c>
      <c r="N107" s="3">
        <f t="shared" si="1"/>
        <v>12</v>
      </c>
      <c r="O107" s="3">
        <f t="shared" si="1"/>
        <v>9.4</v>
      </c>
      <c r="P107" s="3">
        <f t="shared" si="1"/>
        <v>9.5</v>
      </c>
      <c r="Q107" s="3">
        <f t="shared" si="1"/>
        <v>0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9.5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223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07"/>
  <sheetViews>
    <sheetView zoomScale="85" zoomScaleNormal="85" workbookViewId="0">
      <pane xSplit="3" topLeftCell="T1" activePane="topRight" state="frozen"/>
      <selection pane="topRight" activeCell="B17" sqref="B17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139</v>
      </c>
      <c r="C7" s="4" t="s">
        <v>168</v>
      </c>
      <c r="D7" s="13"/>
      <c r="E7" s="5">
        <v>2</v>
      </c>
      <c r="F7" s="5">
        <v>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0.5</v>
      </c>
      <c r="AB7" s="5"/>
      <c r="AC7" s="5"/>
      <c r="AD7" s="5"/>
      <c r="AE7" s="5"/>
      <c r="AF7" s="5"/>
      <c r="AG7" s="5"/>
      <c r="AH7" s="5"/>
      <c r="AI7" s="2">
        <f t="shared" ref="AI7:AI106" si="0">SUM(D7:AH7)</f>
        <v>3.5</v>
      </c>
    </row>
    <row r="8" spans="1:35" x14ac:dyDescent="0.3">
      <c r="A8" s="26">
        <v>2</v>
      </c>
      <c r="B8" s="8" t="s">
        <v>139</v>
      </c>
      <c r="C8" s="6" t="s">
        <v>192</v>
      </c>
      <c r="D8" s="7"/>
      <c r="E8" s="7">
        <v>2</v>
      </c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4</v>
      </c>
    </row>
    <row r="9" spans="1:35" x14ac:dyDescent="0.3">
      <c r="A9" s="26">
        <v>3</v>
      </c>
      <c r="B9" s="8" t="s">
        <v>139</v>
      </c>
      <c r="C9" s="6" t="s">
        <v>190</v>
      </c>
      <c r="D9" s="7"/>
      <c r="E9" s="7">
        <v>7</v>
      </c>
      <c r="F9" s="7">
        <v>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12</v>
      </c>
    </row>
    <row r="10" spans="1:35" x14ac:dyDescent="0.3">
      <c r="A10" s="26">
        <v>4</v>
      </c>
      <c r="B10" s="10" t="s">
        <v>46</v>
      </c>
      <c r="C10" s="6" t="s">
        <v>198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3">
      <c r="A11" s="26">
        <v>5</v>
      </c>
      <c r="B11" s="8" t="s">
        <v>199</v>
      </c>
      <c r="C11" s="9" t="s">
        <v>201</v>
      </c>
      <c r="D11" s="7"/>
      <c r="E11" s="7"/>
      <c r="F11" s="7"/>
      <c r="G11" s="7"/>
      <c r="H11" s="7"/>
      <c r="I11" s="7">
        <v>4</v>
      </c>
      <c r="J11" s="7">
        <v>6</v>
      </c>
      <c r="K11" s="7">
        <v>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13</v>
      </c>
    </row>
    <row r="12" spans="1:35" x14ac:dyDescent="0.3">
      <c r="A12" s="26">
        <v>6</v>
      </c>
      <c r="B12" s="8" t="s">
        <v>199</v>
      </c>
      <c r="C12" s="9" t="s">
        <v>200</v>
      </c>
      <c r="D12" s="7"/>
      <c r="E12" s="7"/>
      <c r="F12" s="7"/>
      <c r="G12" s="7"/>
      <c r="H12" s="7"/>
      <c r="I12" s="7">
        <v>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3">
      <c r="A13" s="26">
        <v>7</v>
      </c>
      <c r="B13" s="8" t="s">
        <v>175</v>
      </c>
      <c r="C13" s="6" t="s">
        <v>202</v>
      </c>
      <c r="D13" s="7"/>
      <c r="E13" s="7"/>
      <c r="F13" s="7"/>
      <c r="G13" s="7"/>
      <c r="H13" s="7"/>
      <c r="I13" s="7">
        <v>1</v>
      </c>
      <c r="J13" s="7"/>
      <c r="K13" s="7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">
      <c r="A14" s="26">
        <v>8</v>
      </c>
      <c r="B14" s="8" t="s">
        <v>175</v>
      </c>
      <c r="C14" s="6" t="s">
        <v>204</v>
      </c>
      <c r="D14" s="7"/>
      <c r="E14" s="7"/>
      <c r="F14" s="7"/>
      <c r="G14" s="7"/>
      <c r="H14" s="7"/>
      <c r="I14" s="7">
        <v>1.5</v>
      </c>
      <c r="J14" s="7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">
      <c r="A15" s="26">
        <v>9</v>
      </c>
      <c r="B15" s="8" t="s">
        <v>175</v>
      </c>
      <c r="C15" s="9" t="s">
        <v>203</v>
      </c>
      <c r="D15" s="7"/>
      <c r="E15" s="7"/>
      <c r="F15" s="7"/>
      <c r="G15" s="7"/>
      <c r="H15" s="7"/>
      <c r="I15" s="7">
        <v>1.5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1.5</v>
      </c>
    </row>
    <row r="16" spans="1:35" x14ac:dyDescent="0.3">
      <c r="A16" s="26">
        <v>10</v>
      </c>
      <c r="B16" s="8" t="s">
        <v>205</v>
      </c>
      <c r="C16" s="8" t="s">
        <v>206</v>
      </c>
      <c r="D16" s="7"/>
      <c r="E16" s="7"/>
      <c r="F16" s="7"/>
      <c r="G16" s="7"/>
      <c r="H16" s="7"/>
      <c r="I16" s="7"/>
      <c r="J16" s="7">
        <v>2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3">
      <c r="A17" s="26">
        <v>11</v>
      </c>
      <c r="B17" s="8" t="s">
        <v>207</v>
      </c>
      <c r="C17" s="9" t="s">
        <v>208</v>
      </c>
      <c r="D17" s="7"/>
      <c r="E17" s="7"/>
      <c r="F17" s="7"/>
      <c r="G17" s="7"/>
      <c r="H17" s="7"/>
      <c r="I17" s="7"/>
      <c r="J17" s="7"/>
      <c r="K17" s="7">
        <v>2</v>
      </c>
      <c r="L17" s="7">
        <v>4</v>
      </c>
      <c r="M17" s="7">
        <v>9.5</v>
      </c>
      <c r="N17" s="7"/>
      <c r="O17" s="7"/>
      <c r="P17" s="7">
        <v>9</v>
      </c>
      <c r="Q17" s="7">
        <v>9</v>
      </c>
      <c r="R17" s="7">
        <v>8.4</v>
      </c>
      <c r="S17" s="7">
        <v>5</v>
      </c>
      <c r="T17" s="7">
        <v>4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50.9</v>
      </c>
    </row>
    <row r="18" spans="1:35" x14ac:dyDescent="0.3">
      <c r="A18" s="26">
        <v>12</v>
      </c>
      <c r="B18" s="8" t="s">
        <v>175</v>
      </c>
      <c r="C18" s="6" t="s">
        <v>209</v>
      </c>
      <c r="D18" s="7"/>
      <c r="E18" s="7"/>
      <c r="F18" s="7"/>
      <c r="G18" s="7"/>
      <c r="H18" s="7"/>
      <c r="I18" s="7"/>
      <c r="J18" s="7"/>
      <c r="K18" s="7">
        <v>2</v>
      </c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6</v>
      </c>
    </row>
    <row r="19" spans="1:35" x14ac:dyDescent="0.3">
      <c r="A19" s="26">
        <v>13</v>
      </c>
      <c r="B19" s="8" t="s">
        <v>175</v>
      </c>
      <c r="C19" s="9" t="s">
        <v>210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">
      <c r="A20" s="26">
        <v>14</v>
      </c>
      <c r="B20" s="8" t="s">
        <v>139</v>
      </c>
      <c r="C20" s="9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>
        <v>0.6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0.6</v>
      </c>
    </row>
    <row r="21" spans="1:35" x14ac:dyDescent="0.3">
      <c r="A21" s="26">
        <v>15</v>
      </c>
      <c r="B21" s="8" t="s">
        <v>212</v>
      </c>
      <c r="C21" s="9" t="s">
        <v>213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>
        <v>4</v>
      </c>
      <c r="T21" s="7">
        <v>1</v>
      </c>
      <c r="U21" s="7"/>
      <c r="V21" s="7"/>
      <c r="W21" s="7"/>
      <c r="X21" s="7">
        <v>3</v>
      </c>
      <c r="Y21" s="7">
        <v>0.5</v>
      </c>
      <c r="Z21" s="7">
        <v>4</v>
      </c>
      <c r="AA21" s="7">
        <v>0.5</v>
      </c>
      <c r="AB21" s="7"/>
      <c r="AC21" s="7"/>
      <c r="AD21" s="7"/>
      <c r="AE21" s="7">
        <v>1</v>
      </c>
      <c r="AF21" s="7"/>
      <c r="AG21" s="7"/>
      <c r="AH21" s="7">
        <v>0.5</v>
      </c>
      <c r="AI21" s="2">
        <f t="shared" si="0"/>
        <v>14.5</v>
      </c>
    </row>
    <row r="22" spans="1:35" x14ac:dyDescent="0.3">
      <c r="A22" s="26">
        <v>16</v>
      </c>
      <c r="B22" s="8" t="s">
        <v>214</v>
      </c>
      <c r="C22" s="8" t="s">
        <v>215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4</v>
      </c>
      <c r="U22" s="7"/>
      <c r="V22" s="7"/>
      <c r="W22" s="7">
        <v>8</v>
      </c>
      <c r="X22" s="7">
        <v>6</v>
      </c>
      <c r="Y22" s="7">
        <v>8</v>
      </c>
      <c r="Z22" s="7">
        <v>4</v>
      </c>
      <c r="AA22" s="7">
        <v>7</v>
      </c>
      <c r="AB22" s="7"/>
      <c r="AC22" s="7"/>
      <c r="AD22" s="7">
        <v>1</v>
      </c>
      <c r="AE22" s="7"/>
      <c r="AF22" s="7"/>
      <c r="AG22" s="7"/>
      <c r="AH22" s="7"/>
      <c r="AI22" s="2">
        <f t="shared" si="0"/>
        <v>38</v>
      </c>
    </row>
    <row r="23" spans="1:35" x14ac:dyDescent="0.3">
      <c r="A23" s="26">
        <v>17</v>
      </c>
      <c r="B23" s="8" t="s">
        <v>216</v>
      </c>
      <c r="C23" s="8" t="s">
        <v>217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42">
        <v>1</v>
      </c>
      <c r="X23" s="7"/>
      <c r="Y23" s="7">
        <v>0.5</v>
      </c>
      <c r="Z23" s="7">
        <v>1</v>
      </c>
      <c r="AA23" s="7">
        <v>1</v>
      </c>
      <c r="AB23" s="7"/>
      <c r="AC23" s="7"/>
      <c r="AD23" s="7">
        <v>0.5</v>
      </c>
      <c r="AE23" s="7"/>
      <c r="AF23" s="7"/>
      <c r="AG23" s="7"/>
      <c r="AH23" s="7"/>
      <c r="AI23" s="2">
        <f t="shared" si="0"/>
        <v>4</v>
      </c>
    </row>
    <row r="24" spans="1:35" x14ac:dyDescent="0.3">
      <c r="A24" s="26">
        <v>18</v>
      </c>
      <c r="B24" s="8" t="s">
        <v>214</v>
      </c>
      <c r="C24" s="9" t="s">
        <v>220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>
        <v>7</v>
      </c>
      <c r="AE24" s="7">
        <v>2</v>
      </c>
      <c r="AF24" s="7"/>
      <c r="AG24" s="7"/>
      <c r="AH24" s="7"/>
      <c r="AI24" s="2">
        <f t="shared" si="0"/>
        <v>9</v>
      </c>
    </row>
    <row r="25" spans="1:35" x14ac:dyDescent="0.3">
      <c r="A25" s="26">
        <v>19</v>
      </c>
      <c r="B25" s="9" t="s">
        <v>115</v>
      </c>
      <c r="C25" s="6" t="s">
        <v>218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0.5</v>
      </c>
      <c r="AE25" s="7"/>
      <c r="AF25" s="7">
        <v>0.5</v>
      </c>
      <c r="AG25" s="7">
        <v>3.5</v>
      </c>
      <c r="AH25" s="7"/>
      <c r="AI25" s="2">
        <f t="shared" si="0"/>
        <v>4.5</v>
      </c>
    </row>
    <row r="26" spans="1:35" x14ac:dyDescent="0.3">
      <c r="A26" s="26">
        <v>20</v>
      </c>
      <c r="B26" s="9" t="s">
        <v>219</v>
      </c>
      <c r="C26" s="6" t="s">
        <v>222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>
        <v>6</v>
      </c>
      <c r="AF26" s="7">
        <v>2</v>
      </c>
      <c r="AG26" s="7">
        <v>2</v>
      </c>
      <c r="AH26" s="7">
        <v>0.5</v>
      </c>
      <c r="AI26" s="2">
        <f t="shared" si="0"/>
        <v>10.5</v>
      </c>
    </row>
    <row r="27" spans="1:35" x14ac:dyDescent="0.3">
      <c r="A27" s="26">
        <v>21</v>
      </c>
      <c r="B27" s="9" t="s">
        <v>115</v>
      </c>
      <c r="C27" s="6" t="s">
        <v>221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>
        <v>1</v>
      </c>
      <c r="AF27" s="7">
        <v>2</v>
      </c>
      <c r="AG27" s="7">
        <v>1</v>
      </c>
      <c r="AH27" s="7"/>
      <c r="AI27" s="2">
        <f t="shared" si="0"/>
        <v>4</v>
      </c>
    </row>
    <row r="28" spans="1:35" x14ac:dyDescent="0.3">
      <c r="A28" s="26">
        <v>22</v>
      </c>
      <c r="B28" s="9" t="s">
        <v>115</v>
      </c>
      <c r="C28" s="9" t="s">
        <v>223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>
        <v>1</v>
      </c>
      <c r="AG28" s="7">
        <v>3</v>
      </c>
      <c r="AH28" s="7">
        <v>2.5</v>
      </c>
      <c r="AI28" s="2">
        <f t="shared" si="0"/>
        <v>6.5</v>
      </c>
    </row>
    <row r="29" spans="1:35" x14ac:dyDescent="0.3">
      <c r="A29" s="26">
        <v>23</v>
      </c>
      <c r="B29" s="9" t="s">
        <v>123</v>
      </c>
      <c r="C29" s="9" t="s">
        <v>224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1</v>
      </c>
      <c r="AG29" s="7"/>
      <c r="AH29" s="7">
        <v>3</v>
      </c>
      <c r="AI29" s="2">
        <f t="shared" si="0"/>
        <v>4</v>
      </c>
    </row>
    <row r="30" spans="1:35" x14ac:dyDescent="0.3">
      <c r="A30" s="26">
        <v>24</v>
      </c>
      <c r="B30" s="9" t="s">
        <v>123</v>
      </c>
      <c r="C30" s="6" t="s">
        <v>225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/>
      <c r="AH30" s="7">
        <v>3</v>
      </c>
      <c r="AI30" s="2">
        <f t="shared" si="0"/>
        <v>5.5</v>
      </c>
    </row>
    <row r="31" spans="1:35" x14ac:dyDescent="0.3">
      <c r="A31" s="26">
        <v>25</v>
      </c>
      <c r="B31" s="9" t="s">
        <v>115</v>
      </c>
      <c r="C31" s="6" t="s">
        <v>226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>
        <v>2.5</v>
      </c>
      <c r="AG31" s="7"/>
      <c r="AH31" s="7"/>
      <c r="AI31" s="2">
        <f t="shared" si="0"/>
        <v>2.5</v>
      </c>
    </row>
    <row r="32" spans="1:35" x14ac:dyDescent="0.3">
      <c r="A32" s="26">
        <v>26</v>
      </c>
      <c r="B32" s="8" t="s">
        <v>227</v>
      </c>
      <c r="C32" s="8" t="s">
        <v>228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>
        <v>2</v>
      </c>
      <c r="AH32" s="7"/>
      <c r="AI32" s="2">
        <f t="shared" si="0"/>
        <v>2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11</v>
      </c>
      <c r="F107" s="12">
        <f t="shared" si="1"/>
        <v>9</v>
      </c>
      <c r="G107" s="3">
        <f t="shared" si="1"/>
        <v>0</v>
      </c>
      <c r="H107" s="3">
        <f t="shared" si="1"/>
        <v>0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9.5</v>
      </c>
      <c r="N107" s="3">
        <f t="shared" si="1"/>
        <v>0</v>
      </c>
      <c r="O107" s="3">
        <f t="shared" si="1"/>
        <v>0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10</v>
      </c>
      <c r="AF107" s="3">
        <f t="shared" si="1"/>
        <v>11.5</v>
      </c>
      <c r="AG107" s="3">
        <f t="shared" si="1"/>
        <v>11.5</v>
      </c>
      <c r="AH107" s="3">
        <f t="shared" si="1"/>
        <v>9.5</v>
      </c>
      <c r="AI107" s="1">
        <f>SUM(D107:AH107)</f>
        <v>207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07"/>
  <sheetViews>
    <sheetView topLeftCell="A4" zoomScale="85" zoomScaleNormal="85" workbookViewId="0">
      <pane xSplit="3" topLeftCell="T1" activePane="topRight" state="frozen"/>
      <selection pane="topRight" activeCell="C37" sqref="C37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227</v>
      </c>
      <c r="C7" s="15" t="s">
        <v>228</v>
      </c>
      <c r="D7" s="13">
        <v>9</v>
      </c>
      <c r="E7" s="5">
        <v>7.5</v>
      </c>
      <c r="F7" s="5">
        <v>2.5</v>
      </c>
      <c r="G7" s="5">
        <v>2.5</v>
      </c>
      <c r="H7" s="5">
        <v>6</v>
      </c>
      <c r="I7" s="5">
        <v>7.5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35</v>
      </c>
    </row>
    <row r="8" spans="1:35" x14ac:dyDescent="0.3">
      <c r="A8" s="26">
        <v>2</v>
      </c>
      <c r="B8" s="8" t="s">
        <v>212</v>
      </c>
      <c r="C8" s="9" t="s">
        <v>213</v>
      </c>
      <c r="D8" s="7"/>
      <c r="E8" s="7"/>
      <c r="F8" s="7">
        <v>1</v>
      </c>
      <c r="G8" s="7"/>
      <c r="H8" s="7"/>
      <c r="I8" s="7"/>
      <c r="J8" s="7"/>
      <c r="K8" s="7"/>
      <c r="L8" s="7"/>
      <c r="M8" s="7">
        <v>1</v>
      </c>
      <c r="N8" s="7"/>
      <c r="O8" s="7"/>
      <c r="P8" s="7"/>
      <c r="Q8" s="7">
        <v>4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6</v>
      </c>
    </row>
    <row r="9" spans="1:35" x14ac:dyDescent="0.3">
      <c r="A9" s="26">
        <v>3</v>
      </c>
      <c r="B9" s="9" t="s">
        <v>123</v>
      </c>
      <c r="C9" s="9" t="s">
        <v>229</v>
      </c>
      <c r="D9" s="7"/>
      <c r="E9" s="7"/>
      <c r="F9" s="7">
        <v>1.5</v>
      </c>
      <c r="G9" s="7">
        <v>1.5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9" t="s">
        <v>115</v>
      </c>
      <c r="C10" s="6" t="s">
        <v>230</v>
      </c>
      <c r="D10" s="7"/>
      <c r="E10" s="7"/>
      <c r="F10" s="7">
        <v>1.5</v>
      </c>
      <c r="G10" s="7">
        <v>1.5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3">
      <c r="A11" s="26">
        <v>5</v>
      </c>
      <c r="B11" s="8" t="s">
        <v>214</v>
      </c>
      <c r="C11" s="6" t="s">
        <v>231</v>
      </c>
      <c r="D11" s="7"/>
      <c r="E11" s="7"/>
      <c r="F11" s="7">
        <v>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4</v>
      </c>
    </row>
    <row r="12" spans="1:35" x14ac:dyDescent="0.3">
      <c r="A12" s="26">
        <v>6</v>
      </c>
      <c r="B12" s="9" t="s">
        <v>219</v>
      </c>
      <c r="C12" s="6" t="s">
        <v>222</v>
      </c>
      <c r="D12" s="7"/>
      <c r="E12" s="7"/>
      <c r="F12" s="7">
        <v>1</v>
      </c>
      <c r="G12" s="7">
        <v>3</v>
      </c>
      <c r="H12" s="7">
        <v>1.5</v>
      </c>
      <c r="I12" s="7"/>
      <c r="J12" s="7">
        <v>1</v>
      </c>
      <c r="K12" s="7"/>
      <c r="L12" s="7"/>
      <c r="M12" s="7"/>
      <c r="N12" s="7">
        <v>2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8.5</v>
      </c>
    </row>
    <row r="13" spans="1:35" x14ac:dyDescent="0.3">
      <c r="A13" s="26">
        <v>7</v>
      </c>
      <c r="B13" s="9" t="s">
        <v>123</v>
      </c>
      <c r="C13" s="9" t="s">
        <v>232</v>
      </c>
      <c r="D13" s="7"/>
      <c r="E13" s="7"/>
      <c r="F13" s="7"/>
      <c r="G13" s="7">
        <v>1.5</v>
      </c>
      <c r="H13" s="7">
        <v>1</v>
      </c>
      <c r="I13" s="7">
        <v>1</v>
      </c>
      <c r="J13" s="7">
        <v>3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6.5</v>
      </c>
    </row>
    <row r="14" spans="1:35" x14ac:dyDescent="0.3">
      <c r="A14" s="26">
        <v>8</v>
      </c>
      <c r="B14" s="9" t="s">
        <v>115</v>
      </c>
      <c r="C14" s="9" t="s">
        <v>233</v>
      </c>
      <c r="D14" s="7"/>
      <c r="E14" s="7"/>
      <c r="F14" s="7"/>
      <c r="G14" s="7">
        <v>1.5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">
      <c r="A15" s="26">
        <v>9</v>
      </c>
      <c r="B15" s="9" t="s">
        <v>115</v>
      </c>
      <c r="C15" s="9" t="s">
        <v>234</v>
      </c>
      <c r="D15" s="7"/>
      <c r="E15" s="7"/>
      <c r="F15" s="7"/>
      <c r="G15" s="7"/>
      <c r="H15" s="7">
        <v>0.5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3">
      <c r="A16" s="26">
        <v>10</v>
      </c>
      <c r="B16" s="9" t="s">
        <v>115</v>
      </c>
      <c r="C16" s="8" t="s">
        <v>235</v>
      </c>
      <c r="D16" s="7"/>
      <c r="E16" s="7"/>
      <c r="F16" s="7"/>
      <c r="G16" s="7"/>
      <c r="H16" s="7"/>
      <c r="I16" s="7">
        <v>0.5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">
      <c r="A17" s="26">
        <v>11</v>
      </c>
      <c r="B17" s="9" t="s">
        <v>123</v>
      </c>
      <c r="C17" s="9" t="s">
        <v>236</v>
      </c>
      <c r="D17" s="7"/>
      <c r="E17" s="7"/>
      <c r="F17" s="7"/>
      <c r="G17" s="7"/>
      <c r="H17" s="7"/>
      <c r="I17" s="7">
        <v>0.5</v>
      </c>
      <c r="J17" s="7"/>
      <c r="K17" s="7"/>
      <c r="L17" s="7"/>
      <c r="M17" s="7">
        <v>1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3">
      <c r="A18" s="26">
        <v>12</v>
      </c>
      <c r="B18" s="8" t="s">
        <v>237</v>
      </c>
      <c r="C18" s="9" t="s">
        <v>238</v>
      </c>
      <c r="D18" s="7"/>
      <c r="E18" s="7"/>
      <c r="F18" s="7"/>
      <c r="G18" s="7"/>
      <c r="H18" s="7"/>
      <c r="I18" s="7"/>
      <c r="J18" s="7">
        <v>3</v>
      </c>
      <c r="K18" s="7"/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</v>
      </c>
    </row>
    <row r="19" spans="1:35" x14ac:dyDescent="0.3">
      <c r="A19" s="26">
        <v>13</v>
      </c>
      <c r="B19" s="8" t="s">
        <v>214</v>
      </c>
      <c r="C19" s="9" t="s">
        <v>220</v>
      </c>
      <c r="D19" s="7"/>
      <c r="E19" s="7"/>
      <c r="F19" s="7"/>
      <c r="G19" s="7"/>
      <c r="H19" s="7"/>
      <c r="I19" s="7"/>
      <c r="J19" s="7">
        <v>2</v>
      </c>
      <c r="K19" s="7"/>
      <c r="L19" s="7"/>
      <c r="M19" s="7">
        <v>0.5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2.5</v>
      </c>
    </row>
    <row r="20" spans="1:35" x14ac:dyDescent="0.3">
      <c r="A20" s="26">
        <v>14</v>
      </c>
      <c r="B20" s="8" t="s">
        <v>227</v>
      </c>
      <c r="C20" s="46" t="s">
        <v>239</v>
      </c>
      <c r="D20" s="7"/>
      <c r="E20" s="7"/>
      <c r="F20" s="7"/>
      <c r="G20" s="7"/>
      <c r="H20" s="7"/>
      <c r="I20" s="7"/>
      <c r="J20" s="7"/>
      <c r="K20" s="7">
        <v>4</v>
      </c>
      <c r="L20" s="7"/>
      <c r="M20" s="7">
        <v>5</v>
      </c>
      <c r="N20" s="7">
        <v>2</v>
      </c>
      <c r="O20" s="7"/>
      <c r="P20" s="7"/>
      <c r="Q20" s="7"/>
      <c r="R20" s="7"/>
      <c r="S20" s="7"/>
      <c r="T20" s="7"/>
      <c r="U20" s="7">
        <v>3</v>
      </c>
      <c r="V20" s="7"/>
      <c r="W20" s="7"/>
      <c r="X20" s="7"/>
      <c r="Y20" s="7"/>
      <c r="Z20" s="7"/>
      <c r="AA20" s="7"/>
      <c r="AB20" s="7">
        <v>4</v>
      </c>
      <c r="AC20" s="7">
        <v>3.5</v>
      </c>
      <c r="AD20" s="7">
        <v>2</v>
      </c>
      <c r="AE20" s="7">
        <v>1.5</v>
      </c>
      <c r="AF20" s="7"/>
      <c r="AG20" s="7"/>
      <c r="AH20" s="7"/>
      <c r="AI20" s="2">
        <f t="shared" si="0"/>
        <v>25</v>
      </c>
    </row>
    <row r="21" spans="1:35" x14ac:dyDescent="0.3">
      <c r="A21" s="26">
        <v>15</v>
      </c>
      <c r="B21" s="9" t="s">
        <v>115</v>
      </c>
      <c r="C21" s="9" t="s">
        <v>240</v>
      </c>
      <c r="D21" s="7"/>
      <c r="E21" s="7"/>
      <c r="F21" s="7"/>
      <c r="G21" s="7"/>
      <c r="H21" s="7"/>
      <c r="I21" s="7"/>
      <c r="J21" s="7"/>
      <c r="K21" s="7"/>
      <c r="L21" s="7"/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0.5</v>
      </c>
    </row>
    <row r="22" spans="1:35" x14ac:dyDescent="0.3">
      <c r="A22" s="26">
        <v>16</v>
      </c>
      <c r="B22" s="8" t="s">
        <v>241</v>
      </c>
      <c r="C22" s="8" t="s">
        <v>242</v>
      </c>
      <c r="D22" s="7"/>
      <c r="E22" s="7"/>
      <c r="F22" s="7"/>
      <c r="G22" s="7"/>
      <c r="H22" s="7"/>
      <c r="I22" s="7"/>
      <c r="J22" s="7"/>
      <c r="K22" s="7"/>
      <c r="L22" s="7"/>
      <c r="M22" s="7">
        <v>0.5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3">
      <c r="A23" s="26">
        <v>17</v>
      </c>
      <c r="B23" s="8" t="s">
        <v>207</v>
      </c>
      <c r="C23" s="8" t="s">
        <v>243</v>
      </c>
      <c r="D23" s="7"/>
      <c r="E23" s="7"/>
      <c r="F23" s="7"/>
      <c r="G23" s="7"/>
      <c r="H23" s="7"/>
      <c r="I23" s="7"/>
      <c r="J23" s="7"/>
      <c r="K23" s="7"/>
      <c r="L23" s="7"/>
      <c r="M23" s="7">
        <v>1</v>
      </c>
      <c r="N23" s="7">
        <v>3</v>
      </c>
      <c r="O23" s="7"/>
      <c r="P23" s="7">
        <v>4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8</v>
      </c>
    </row>
    <row r="24" spans="1:35" x14ac:dyDescent="0.3">
      <c r="A24" s="26">
        <v>18</v>
      </c>
      <c r="B24" s="8" t="s">
        <v>227</v>
      </c>
      <c r="C24" s="9" t="s">
        <v>244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1.5</v>
      </c>
      <c r="O24" s="7">
        <v>4.5</v>
      </c>
      <c r="P24" s="7">
        <v>5</v>
      </c>
      <c r="Q24" s="7">
        <v>5</v>
      </c>
      <c r="R24" s="7"/>
      <c r="S24" s="7"/>
      <c r="T24" s="7">
        <v>4</v>
      </c>
      <c r="U24" s="7">
        <v>1</v>
      </c>
      <c r="V24" s="7"/>
      <c r="W24" s="7"/>
      <c r="X24" s="7"/>
      <c r="Y24" s="7"/>
      <c r="Z24" s="7"/>
      <c r="AA24" s="7"/>
      <c r="AB24" s="7">
        <v>3</v>
      </c>
      <c r="AC24" s="7">
        <v>3</v>
      </c>
      <c r="AD24" s="7">
        <v>5.4</v>
      </c>
      <c r="AE24" s="7">
        <v>2</v>
      </c>
      <c r="AF24" s="7"/>
      <c r="AG24" s="7"/>
      <c r="AH24" s="7"/>
      <c r="AI24" s="2">
        <f t="shared" si="0"/>
        <v>34.4</v>
      </c>
    </row>
    <row r="25" spans="1:35" x14ac:dyDescent="0.3">
      <c r="A25" s="26">
        <v>19</v>
      </c>
      <c r="B25" s="8" t="s">
        <v>34</v>
      </c>
      <c r="C25" s="6" t="s">
        <v>245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1.5</v>
      </c>
      <c r="O25" s="7">
        <v>2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2</v>
      </c>
      <c r="AC25" s="7"/>
      <c r="AD25" s="7"/>
      <c r="AE25" s="7">
        <v>2</v>
      </c>
      <c r="AF25" s="7"/>
      <c r="AG25" s="7"/>
      <c r="AH25" s="7"/>
      <c r="AI25" s="2">
        <f t="shared" si="0"/>
        <v>7.5</v>
      </c>
    </row>
    <row r="26" spans="1:35" x14ac:dyDescent="0.3">
      <c r="A26" s="26">
        <v>20</v>
      </c>
      <c r="B26" s="8" t="s">
        <v>214</v>
      </c>
      <c r="C26" s="9" t="s">
        <v>246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2.5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2.5</v>
      </c>
    </row>
    <row r="27" spans="1:35" x14ac:dyDescent="0.3">
      <c r="A27" s="26">
        <v>21</v>
      </c>
      <c r="B27" s="9" t="s">
        <v>123</v>
      </c>
      <c r="C27" s="9" t="s">
        <v>247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1.5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1.5</v>
      </c>
    </row>
    <row r="28" spans="1:35" x14ac:dyDescent="0.3">
      <c r="A28" s="26">
        <v>22</v>
      </c>
      <c r="B28" s="8" t="s">
        <v>227</v>
      </c>
      <c r="C28" s="9" t="s">
        <v>248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5</v>
      </c>
      <c r="U28" s="7">
        <v>3</v>
      </c>
      <c r="V28" s="7"/>
      <c r="W28" s="7">
        <v>4</v>
      </c>
      <c r="X28" s="7">
        <v>4</v>
      </c>
      <c r="Y28" s="7"/>
      <c r="Z28" s="7"/>
      <c r="AA28" s="7"/>
      <c r="AB28" s="7"/>
      <c r="AC28" s="7"/>
      <c r="AD28" s="7"/>
      <c r="AE28" s="7">
        <v>1.5</v>
      </c>
      <c r="AF28" s="7"/>
      <c r="AG28" s="7"/>
      <c r="AH28" s="7"/>
      <c r="AI28" s="2">
        <f t="shared" si="0"/>
        <v>17.5</v>
      </c>
    </row>
    <row r="29" spans="1:35" x14ac:dyDescent="0.3">
      <c r="A29" s="26">
        <v>23</v>
      </c>
      <c r="B29" s="8" t="s">
        <v>249</v>
      </c>
      <c r="C29" s="9" t="s">
        <v>250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>
        <v>2</v>
      </c>
      <c r="V29" s="7">
        <v>1.5</v>
      </c>
      <c r="W29" s="7">
        <v>1</v>
      </c>
      <c r="X29" s="7">
        <v>1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5.5</v>
      </c>
    </row>
    <row r="30" spans="1:35" x14ac:dyDescent="0.3">
      <c r="A30" s="26">
        <v>24</v>
      </c>
      <c r="B30" s="8" t="s">
        <v>34</v>
      </c>
      <c r="C30" s="6" t="s">
        <v>251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44"/>
      <c r="V30" s="7">
        <v>1.5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1.5</v>
      </c>
    </row>
    <row r="31" spans="1:35" x14ac:dyDescent="0.3">
      <c r="A31" s="26">
        <v>25</v>
      </c>
      <c r="B31" s="8" t="s">
        <v>252</v>
      </c>
      <c r="C31" s="9" t="s">
        <v>253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>
        <v>6</v>
      </c>
      <c r="W31" s="7">
        <v>4</v>
      </c>
      <c r="X31" s="7">
        <v>4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14</v>
      </c>
    </row>
    <row r="32" spans="1:35" x14ac:dyDescent="0.3">
      <c r="A32" s="26">
        <v>26</v>
      </c>
      <c r="B32" s="8" t="s">
        <v>249</v>
      </c>
      <c r="C32" s="8" t="s">
        <v>250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>
        <v>1.5</v>
      </c>
      <c r="AD32" s="7"/>
      <c r="AE32" s="7"/>
      <c r="AF32" s="7"/>
      <c r="AG32" s="7"/>
      <c r="AH32" s="7"/>
      <c r="AI32" s="2">
        <f t="shared" si="0"/>
        <v>1.5</v>
      </c>
    </row>
    <row r="33" spans="1:35" x14ac:dyDescent="0.3">
      <c r="A33" s="26">
        <v>27</v>
      </c>
      <c r="B33" s="8" t="s">
        <v>249</v>
      </c>
      <c r="C33" s="8" t="s">
        <v>254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>
        <v>1.3</v>
      </c>
      <c r="AD33" s="7">
        <v>2</v>
      </c>
      <c r="AE33" s="7"/>
      <c r="AF33" s="7"/>
      <c r="AG33" s="7"/>
      <c r="AH33" s="7"/>
      <c r="AI33" s="2">
        <f t="shared" si="0"/>
        <v>3.3</v>
      </c>
    </row>
    <row r="34" spans="1:35" x14ac:dyDescent="0.3">
      <c r="A34" s="26">
        <v>28</v>
      </c>
      <c r="B34" s="8" t="s">
        <v>249</v>
      </c>
      <c r="C34" s="8" t="s">
        <v>255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>
        <v>2</v>
      </c>
      <c r="AE34" s="7"/>
      <c r="AF34" s="7"/>
      <c r="AG34" s="7"/>
      <c r="AH34" s="7"/>
      <c r="AI34" s="2">
        <f t="shared" si="0"/>
        <v>2</v>
      </c>
    </row>
    <row r="35" spans="1:35" x14ac:dyDescent="0.3">
      <c r="A35" s="26">
        <v>29</v>
      </c>
      <c r="B35" s="8" t="s">
        <v>249</v>
      </c>
      <c r="C35" s="8" t="s">
        <v>256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>
        <v>2</v>
      </c>
      <c r="AF35" s="7"/>
      <c r="AG35" s="7"/>
      <c r="AH35" s="7"/>
      <c r="AI35" s="2">
        <f t="shared" si="0"/>
        <v>2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7.5</v>
      </c>
      <c r="F107" s="12">
        <f t="shared" si="1"/>
        <v>11.5</v>
      </c>
      <c r="G107" s="3">
        <f t="shared" si="1"/>
        <v>11.5</v>
      </c>
      <c r="H107" s="3">
        <f t="shared" si="1"/>
        <v>10</v>
      </c>
      <c r="I107" s="3">
        <f t="shared" si="1"/>
        <v>9.5</v>
      </c>
      <c r="J107" s="3">
        <f t="shared" si="1"/>
        <v>9</v>
      </c>
      <c r="K107" s="3">
        <f t="shared" si="1"/>
        <v>4</v>
      </c>
      <c r="L107" s="3">
        <f t="shared" si="1"/>
        <v>4</v>
      </c>
      <c r="M107" s="3">
        <f t="shared" si="1"/>
        <v>9.5</v>
      </c>
      <c r="N107" s="3">
        <f t="shared" si="1"/>
        <v>10</v>
      </c>
      <c r="O107" s="3">
        <f t="shared" si="1"/>
        <v>9</v>
      </c>
      <c r="P107" s="3">
        <f t="shared" si="1"/>
        <v>9</v>
      </c>
      <c r="Q107" s="3">
        <f t="shared" si="1"/>
        <v>10.5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9</v>
      </c>
      <c r="AC107" s="3">
        <f t="shared" si="1"/>
        <v>9.3000000000000007</v>
      </c>
      <c r="AD107" s="3">
        <f t="shared" si="1"/>
        <v>11.4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207.70000000000002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7"/>
  <sheetViews>
    <sheetView zoomScale="85" zoomScaleNormal="85" workbookViewId="0">
      <pane xSplit="3" topLeftCell="T1" activePane="topRight" state="frozen"/>
      <selection pane="topRight" activeCell="O33" sqref="O33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207</v>
      </c>
      <c r="C7" s="9" t="s">
        <v>257</v>
      </c>
      <c r="D7" s="13">
        <v>7.5</v>
      </c>
      <c r="E7" s="5">
        <v>6.5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14</v>
      </c>
    </row>
    <row r="8" spans="1:35" x14ac:dyDescent="0.3">
      <c r="A8" s="26">
        <v>2</v>
      </c>
      <c r="B8" s="8" t="s">
        <v>115</v>
      </c>
      <c r="C8" s="9" t="s">
        <v>233</v>
      </c>
      <c r="D8" s="7"/>
      <c r="E8" s="7">
        <v>0.5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0.5</v>
      </c>
    </row>
    <row r="9" spans="1:35" x14ac:dyDescent="0.3">
      <c r="A9" s="26">
        <v>3</v>
      </c>
      <c r="B9" s="8" t="s">
        <v>115</v>
      </c>
      <c r="C9" s="9" t="s">
        <v>248</v>
      </c>
      <c r="D9" s="7"/>
      <c r="E9" s="7"/>
      <c r="F9" s="7">
        <v>7</v>
      </c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9</v>
      </c>
    </row>
    <row r="10" spans="1:35" x14ac:dyDescent="0.3">
      <c r="A10" s="26">
        <v>4</v>
      </c>
      <c r="B10" s="8" t="s">
        <v>115</v>
      </c>
      <c r="C10" s="9" t="s">
        <v>239</v>
      </c>
      <c r="D10" s="7">
        <v>2</v>
      </c>
      <c r="E10" s="7">
        <v>2.2000000000000002</v>
      </c>
      <c r="F10" s="7"/>
      <c r="G10" s="7">
        <v>2</v>
      </c>
      <c r="H10" s="7">
        <v>9</v>
      </c>
      <c r="I10" s="7"/>
      <c r="J10" s="7"/>
      <c r="K10" s="7">
        <v>8.5</v>
      </c>
      <c r="L10" s="7">
        <v>8</v>
      </c>
      <c r="M10" s="7">
        <v>1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32.700000000000003</v>
      </c>
    </row>
    <row r="11" spans="1:35" x14ac:dyDescent="0.3">
      <c r="A11" s="26">
        <v>5</v>
      </c>
      <c r="B11" s="8" t="s">
        <v>252</v>
      </c>
      <c r="C11" s="9" t="s">
        <v>258</v>
      </c>
      <c r="D11" s="7"/>
      <c r="E11" s="7"/>
      <c r="F11" s="7">
        <v>2</v>
      </c>
      <c r="G11" s="7">
        <v>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7</v>
      </c>
    </row>
    <row r="12" spans="1:35" x14ac:dyDescent="0.3">
      <c r="A12" s="26">
        <v>6</v>
      </c>
      <c r="B12" s="8" t="s">
        <v>259</v>
      </c>
      <c r="C12" s="9" t="s">
        <v>260</v>
      </c>
      <c r="D12" s="7"/>
      <c r="E12" s="7"/>
      <c r="F12" s="7"/>
      <c r="G12" s="7"/>
      <c r="H12" s="7"/>
      <c r="I12" s="7"/>
      <c r="J12" s="7"/>
      <c r="K12" s="7">
        <v>0.5</v>
      </c>
      <c r="L12" s="7"/>
      <c r="M12" s="7"/>
      <c r="N12" s="7"/>
      <c r="O12" s="7"/>
      <c r="P12" s="7"/>
      <c r="Q12" s="7"/>
      <c r="R12" s="7">
        <v>6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6.5</v>
      </c>
    </row>
    <row r="13" spans="1:35" x14ac:dyDescent="0.3">
      <c r="A13" s="26">
        <v>7</v>
      </c>
      <c r="B13" s="8" t="s">
        <v>261</v>
      </c>
      <c r="C13" s="9" t="s">
        <v>262</v>
      </c>
      <c r="D13" s="7"/>
      <c r="E13" s="7"/>
      <c r="F13" s="7"/>
      <c r="G13" s="7"/>
      <c r="H13" s="7"/>
      <c r="I13" s="7"/>
      <c r="J13" s="7"/>
      <c r="K13" s="7"/>
      <c r="L13" s="7">
        <v>1.5</v>
      </c>
      <c r="M13" s="7">
        <v>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2.5</v>
      </c>
    </row>
    <row r="14" spans="1:35" x14ac:dyDescent="0.3">
      <c r="A14" s="26">
        <v>8</v>
      </c>
      <c r="B14" s="8" t="s">
        <v>263</v>
      </c>
      <c r="C14" s="9" t="s">
        <v>264</v>
      </c>
      <c r="D14" s="7"/>
      <c r="E14" s="7"/>
      <c r="F14" s="7"/>
      <c r="G14" s="7"/>
      <c r="H14" s="7"/>
      <c r="I14" s="7"/>
      <c r="J14" s="7"/>
      <c r="K14" s="7"/>
      <c r="L14" s="7"/>
      <c r="M14" s="7">
        <v>3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3</v>
      </c>
    </row>
    <row r="15" spans="1:35" x14ac:dyDescent="0.3">
      <c r="A15" s="26">
        <v>9</v>
      </c>
      <c r="B15" s="8" t="s">
        <v>207</v>
      </c>
      <c r="C15" s="9" t="s">
        <v>265</v>
      </c>
      <c r="D15" s="7"/>
      <c r="E15" s="7"/>
      <c r="F15" s="7"/>
      <c r="G15" s="7"/>
      <c r="H15" s="7"/>
      <c r="I15" s="7"/>
      <c r="J15" s="7"/>
      <c r="K15" s="7"/>
      <c r="L15" s="7"/>
      <c r="M15" s="7">
        <v>4</v>
      </c>
      <c r="N15" s="7">
        <v>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6</v>
      </c>
    </row>
    <row r="16" spans="1:35" x14ac:dyDescent="0.3">
      <c r="A16" s="26">
        <v>10</v>
      </c>
      <c r="B16" s="8" t="s">
        <v>207</v>
      </c>
      <c r="C16" s="9" t="s">
        <v>266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>
        <v>2.5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3">
      <c r="A17" s="26">
        <v>11</v>
      </c>
      <c r="B17" s="8" t="s">
        <v>207</v>
      </c>
      <c r="C17" s="9" t="s">
        <v>267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1.5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3">
      <c r="A18" s="26">
        <v>12</v>
      </c>
      <c r="B18" s="8" t="s">
        <v>227</v>
      </c>
      <c r="C18" s="9" t="s">
        <v>270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v>1</v>
      </c>
      <c r="O18" s="7">
        <v>7.5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8.5</v>
      </c>
    </row>
    <row r="19" spans="1:35" x14ac:dyDescent="0.3">
      <c r="A19" s="26">
        <v>13</v>
      </c>
      <c r="B19" s="9" t="s">
        <v>268</v>
      </c>
      <c r="C19" s="9" t="s">
        <v>269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>
        <v>2</v>
      </c>
      <c r="O19" s="7">
        <v>0.5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>
        <v>1</v>
      </c>
      <c r="AD19" s="7"/>
      <c r="AE19" s="7"/>
      <c r="AF19" s="7"/>
      <c r="AG19" s="7"/>
      <c r="AH19" s="7"/>
      <c r="AI19" s="2">
        <f t="shared" si="0"/>
        <v>3.5</v>
      </c>
    </row>
    <row r="20" spans="1:35" x14ac:dyDescent="0.3">
      <c r="A20" s="26">
        <v>14</v>
      </c>
      <c r="B20" s="8" t="s">
        <v>271</v>
      </c>
      <c r="C20" s="8" t="s">
        <v>272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>
        <v>1</v>
      </c>
      <c r="P20" s="7"/>
      <c r="Q20" s="7"/>
      <c r="R20" s="7"/>
      <c r="S20" s="7"/>
      <c r="T20" s="7">
        <v>2</v>
      </c>
      <c r="U20" s="7">
        <v>1</v>
      </c>
      <c r="V20" s="7">
        <v>1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3">
      <c r="A21" s="26">
        <v>15</v>
      </c>
      <c r="B21" s="8" t="s">
        <v>271</v>
      </c>
      <c r="C21" s="9" t="s">
        <v>275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2</v>
      </c>
      <c r="U21" s="7">
        <v>1</v>
      </c>
      <c r="V21" s="7">
        <v>1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4</v>
      </c>
    </row>
    <row r="22" spans="1:35" x14ac:dyDescent="0.3">
      <c r="A22" s="26">
        <v>16</v>
      </c>
      <c r="B22" s="8" t="s">
        <v>271</v>
      </c>
      <c r="C22" s="9" t="s">
        <v>274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1</v>
      </c>
      <c r="U22" s="7">
        <v>1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3">
      <c r="A23" s="26">
        <v>17</v>
      </c>
      <c r="B23" s="8" t="s">
        <v>207</v>
      </c>
      <c r="C23" s="8" t="s">
        <v>273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>
        <v>3</v>
      </c>
      <c r="S23" s="7"/>
      <c r="T23" s="7">
        <v>4</v>
      </c>
      <c r="U23" s="7">
        <v>2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9</v>
      </c>
    </row>
    <row r="24" spans="1:35" x14ac:dyDescent="0.3">
      <c r="A24" s="26">
        <v>18</v>
      </c>
      <c r="B24" s="8" t="s">
        <v>263</v>
      </c>
      <c r="C24" s="9" t="s">
        <v>276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>
        <v>4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4</v>
      </c>
    </row>
    <row r="25" spans="1:35" x14ac:dyDescent="0.3">
      <c r="A25" s="26">
        <v>19</v>
      </c>
      <c r="B25" s="8" t="s">
        <v>207</v>
      </c>
      <c r="C25" s="6" t="s">
        <v>208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2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3">
      <c r="A26" s="26">
        <v>20</v>
      </c>
      <c r="B26" s="14" t="s">
        <v>214</v>
      </c>
      <c r="C26" s="9" t="s">
        <v>277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5</v>
      </c>
      <c r="W26" s="7"/>
      <c r="X26" s="7"/>
      <c r="Y26" s="7">
        <v>9</v>
      </c>
      <c r="Z26" s="7">
        <v>9</v>
      </c>
      <c r="AA26" s="7">
        <v>9</v>
      </c>
      <c r="AB26" s="7">
        <v>1</v>
      </c>
      <c r="AC26" s="7"/>
      <c r="AD26" s="7"/>
      <c r="AE26" s="7"/>
      <c r="AF26" s="7"/>
      <c r="AG26" s="7"/>
      <c r="AH26" s="7"/>
      <c r="AI26" s="2">
        <f t="shared" si="0"/>
        <v>33</v>
      </c>
    </row>
    <row r="27" spans="1:35" x14ac:dyDescent="0.3">
      <c r="A27" s="26">
        <v>21</v>
      </c>
      <c r="B27" s="14" t="s">
        <v>214</v>
      </c>
      <c r="C27" s="9" t="s">
        <v>278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>
        <v>8</v>
      </c>
      <c r="AC27" s="7">
        <v>7.5</v>
      </c>
      <c r="AD27" s="7"/>
      <c r="AE27" s="7"/>
      <c r="AF27" s="42">
        <v>2.5</v>
      </c>
      <c r="AG27" s="7">
        <v>2</v>
      </c>
      <c r="AH27" s="7"/>
      <c r="AI27" s="2">
        <f t="shared" si="0"/>
        <v>20</v>
      </c>
    </row>
    <row r="28" spans="1:35" x14ac:dyDescent="0.3">
      <c r="A28" s="26">
        <v>22</v>
      </c>
      <c r="B28" s="8" t="s">
        <v>279</v>
      </c>
      <c r="C28" s="9" t="s">
        <v>280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0.5</v>
      </c>
      <c r="AD28" s="7"/>
      <c r="AE28" s="7"/>
      <c r="AF28" s="7"/>
      <c r="AG28" s="7"/>
      <c r="AH28" s="7"/>
      <c r="AI28" s="2">
        <f t="shared" si="0"/>
        <v>0.5</v>
      </c>
    </row>
    <row r="29" spans="1:35" x14ac:dyDescent="0.3">
      <c r="A29" s="26">
        <v>23</v>
      </c>
      <c r="B29" s="14" t="s">
        <v>214</v>
      </c>
      <c r="C29" s="9" t="s">
        <v>281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4</v>
      </c>
      <c r="AG29" s="7">
        <v>2</v>
      </c>
      <c r="AH29" s="7"/>
      <c r="AI29" s="2">
        <f t="shared" si="0"/>
        <v>6</v>
      </c>
    </row>
    <row r="30" spans="1:35" x14ac:dyDescent="0.3">
      <c r="A30" s="26">
        <v>24</v>
      </c>
      <c r="B30" s="8" t="s">
        <v>115</v>
      </c>
      <c r="C30" s="6" t="s">
        <v>282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>
        <v>5</v>
      </c>
      <c r="AH30" s="7"/>
      <c r="AI30" s="2">
        <f t="shared" si="0"/>
        <v>7.5</v>
      </c>
    </row>
    <row r="31" spans="1:35" x14ac:dyDescent="0.3">
      <c r="A31" s="26">
        <v>25</v>
      </c>
      <c r="B31" s="8" t="s">
        <v>283</v>
      </c>
      <c r="C31" s="9" t="s">
        <v>284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>
        <v>9</v>
      </c>
      <c r="AI31" s="2">
        <f t="shared" si="0"/>
        <v>9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9.1999999999999993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9.5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199.2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07"/>
  <sheetViews>
    <sheetView zoomScale="85" zoomScaleNormal="85" workbookViewId="0">
      <pane xSplit="3" topLeftCell="T1" activePane="topRight" state="frozen"/>
      <selection pane="topRight" activeCell="B23" sqref="B23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285</v>
      </c>
      <c r="C7" s="4" t="s">
        <v>292</v>
      </c>
      <c r="D7" s="13">
        <v>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</v>
      </c>
    </row>
    <row r="8" spans="1:35" x14ac:dyDescent="0.3">
      <c r="A8" s="26">
        <v>2</v>
      </c>
      <c r="B8" s="8" t="s">
        <v>249</v>
      </c>
      <c r="C8" s="6" t="s">
        <v>286</v>
      </c>
      <c r="D8" s="7">
        <v>5</v>
      </c>
      <c r="E8" s="7">
        <v>4</v>
      </c>
      <c r="F8" s="7"/>
      <c r="G8" s="7"/>
      <c r="H8" s="7">
        <v>1</v>
      </c>
      <c r="I8" s="7">
        <v>3</v>
      </c>
      <c r="J8" s="7">
        <v>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14</v>
      </c>
    </row>
    <row r="9" spans="1:35" x14ac:dyDescent="0.3">
      <c r="A9" s="26">
        <v>3</v>
      </c>
      <c r="B9" s="8" t="s">
        <v>249</v>
      </c>
      <c r="C9" s="6" t="s">
        <v>287</v>
      </c>
      <c r="D9" s="7">
        <v>1</v>
      </c>
      <c r="E9" s="7">
        <v>5</v>
      </c>
      <c r="F9" s="7"/>
      <c r="G9" s="7"/>
      <c r="H9" s="7">
        <v>7.5</v>
      </c>
      <c r="I9" s="7"/>
      <c r="J9" s="7"/>
      <c r="K9" s="7">
        <v>1</v>
      </c>
      <c r="L9" s="7">
        <v>4</v>
      </c>
      <c r="M9" s="7"/>
      <c r="N9" s="7"/>
      <c r="O9" s="7"/>
      <c r="P9" s="7">
        <v>3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21.5</v>
      </c>
    </row>
    <row r="10" spans="1:35" x14ac:dyDescent="0.3">
      <c r="A10" s="26">
        <v>4</v>
      </c>
      <c r="B10" s="14" t="s">
        <v>214</v>
      </c>
      <c r="C10" s="9" t="s">
        <v>281</v>
      </c>
      <c r="D10" s="7"/>
      <c r="E10" s="7"/>
      <c r="F10" s="7"/>
      <c r="G10" s="7"/>
      <c r="H10" s="7">
        <v>0.5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>
        <v>2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2.5</v>
      </c>
    </row>
    <row r="11" spans="1:35" x14ac:dyDescent="0.3">
      <c r="A11" s="26">
        <v>5</v>
      </c>
      <c r="B11" s="8" t="s">
        <v>249</v>
      </c>
      <c r="C11" s="9" t="s">
        <v>288</v>
      </c>
      <c r="D11" s="7"/>
      <c r="E11" s="7"/>
      <c r="F11" s="7"/>
      <c r="G11" s="7"/>
      <c r="H11" s="7"/>
      <c r="I11" s="7">
        <v>2</v>
      </c>
      <c r="J11" s="7">
        <v>8</v>
      </c>
      <c r="K11" s="7">
        <v>4</v>
      </c>
      <c r="L11" s="7">
        <v>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17</v>
      </c>
    </row>
    <row r="12" spans="1:35" x14ac:dyDescent="0.3">
      <c r="A12" s="26">
        <v>6</v>
      </c>
      <c r="B12" s="9" t="s">
        <v>289</v>
      </c>
      <c r="C12" s="9" t="s">
        <v>290</v>
      </c>
      <c r="D12" s="7"/>
      <c r="E12" s="7"/>
      <c r="F12" s="7"/>
      <c r="G12" s="7"/>
      <c r="H12" s="7"/>
      <c r="I12" s="7">
        <v>4</v>
      </c>
      <c r="J12" s="7"/>
      <c r="K12" s="7">
        <v>4</v>
      </c>
      <c r="L12" s="7">
        <v>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10</v>
      </c>
    </row>
    <row r="13" spans="1:35" x14ac:dyDescent="0.3">
      <c r="A13" s="26">
        <v>7</v>
      </c>
      <c r="B13" s="8" t="s">
        <v>249</v>
      </c>
      <c r="C13" s="6" t="s">
        <v>291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>
        <v>4</v>
      </c>
      <c r="P13" s="7">
        <v>5</v>
      </c>
      <c r="Q13" s="7">
        <v>7</v>
      </c>
      <c r="R13" s="7">
        <v>4</v>
      </c>
      <c r="S13" s="7">
        <v>1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21</v>
      </c>
    </row>
    <row r="14" spans="1:35" x14ac:dyDescent="0.3">
      <c r="A14" s="26">
        <v>8</v>
      </c>
      <c r="B14" s="8" t="s">
        <v>293</v>
      </c>
      <c r="C14" s="6" t="s">
        <v>294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5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5</v>
      </c>
    </row>
    <row r="15" spans="1:35" x14ac:dyDescent="0.3">
      <c r="A15" s="26">
        <v>9</v>
      </c>
      <c r="B15" s="8" t="s">
        <v>295</v>
      </c>
      <c r="C15" s="9" t="s">
        <v>296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>
        <v>1</v>
      </c>
      <c r="Q15" s="7">
        <v>1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2</v>
      </c>
    </row>
    <row r="16" spans="1:35" x14ac:dyDescent="0.3">
      <c r="A16" s="26">
        <v>10</v>
      </c>
      <c r="B16" s="8" t="s">
        <v>249</v>
      </c>
      <c r="C16" s="9" t="s">
        <v>302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>
        <v>1</v>
      </c>
      <c r="R16" s="7">
        <v>2</v>
      </c>
      <c r="S16" s="7">
        <v>8</v>
      </c>
      <c r="T16" s="7"/>
      <c r="U16" s="7"/>
      <c r="V16" s="7">
        <v>1</v>
      </c>
      <c r="W16" s="7">
        <v>1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13</v>
      </c>
    </row>
    <row r="17" spans="1:35" x14ac:dyDescent="0.3">
      <c r="A17" s="26">
        <v>11</v>
      </c>
      <c r="B17" s="8" t="s">
        <v>297</v>
      </c>
      <c r="C17" s="9" t="s">
        <v>298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>
        <v>2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">
      <c r="A18" s="26">
        <v>12</v>
      </c>
      <c r="B18" s="8" t="s">
        <v>299</v>
      </c>
      <c r="C18" s="9" t="s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>
        <v>1</v>
      </c>
      <c r="S18" s="7"/>
      <c r="T18" s="7"/>
      <c r="U18" s="7"/>
      <c r="V18" s="7">
        <v>1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</v>
      </c>
    </row>
    <row r="19" spans="1:35" x14ac:dyDescent="0.3">
      <c r="A19" s="26">
        <v>13</v>
      </c>
      <c r="B19" s="14" t="s">
        <v>214</v>
      </c>
      <c r="C19" s="9" t="s">
        <v>301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4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4</v>
      </c>
    </row>
    <row r="20" spans="1:35" x14ac:dyDescent="0.3">
      <c r="A20" s="26">
        <v>14</v>
      </c>
      <c r="B20" s="8" t="s">
        <v>249</v>
      </c>
      <c r="C20" s="9" t="s">
        <v>303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1</v>
      </c>
      <c r="W20" s="7">
        <v>8</v>
      </c>
      <c r="X20" s="7">
        <v>1.5</v>
      </c>
      <c r="Y20" s="7">
        <v>3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13.5</v>
      </c>
    </row>
    <row r="21" spans="1:35" x14ac:dyDescent="0.3">
      <c r="A21" s="26">
        <v>15</v>
      </c>
      <c r="B21" s="8" t="s">
        <v>34</v>
      </c>
      <c r="C21" s="9" t="s">
        <v>304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1.5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3">
      <c r="A22" s="26">
        <v>16</v>
      </c>
      <c r="B22" s="8" t="s">
        <v>305</v>
      </c>
      <c r="C22" s="8" t="s">
        <v>306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>
        <v>6.5</v>
      </c>
      <c r="Y22" s="7">
        <v>5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11.5</v>
      </c>
    </row>
    <row r="23" spans="1:35" x14ac:dyDescent="0.3">
      <c r="A23" s="26">
        <v>17</v>
      </c>
      <c r="B23" s="8" t="s">
        <v>307</v>
      </c>
      <c r="C23" s="9" t="s">
        <v>310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>
        <v>1</v>
      </c>
      <c r="Z23" s="7">
        <v>3</v>
      </c>
      <c r="AA23" s="7"/>
      <c r="AB23" s="7"/>
      <c r="AC23" s="7">
        <v>8</v>
      </c>
      <c r="AD23" s="7"/>
      <c r="AE23" s="7"/>
      <c r="AF23" s="7"/>
      <c r="AG23" s="7"/>
      <c r="AH23" s="7"/>
      <c r="AI23" s="2">
        <f t="shared" si="0"/>
        <v>12</v>
      </c>
    </row>
    <row r="24" spans="1:35" x14ac:dyDescent="0.3">
      <c r="A24" s="26">
        <v>18</v>
      </c>
      <c r="B24" s="8" t="s">
        <v>308</v>
      </c>
      <c r="C24" s="9" t="s">
        <v>309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7</v>
      </c>
      <c r="AA24" s="7"/>
      <c r="AB24" s="7"/>
      <c r="AC24" s="7">
        <v>1</v>
      </c>
      <c r="AD24" s="7"/>
      <c r="AE24" s="7">
        <v>3.3</v>
      </c>
      <c r="AF24" s="7"/>
      <c r="AG24" s="7"/>
      <c r="AH24" s="7"/>
      <c r="AI24" s="2">
        <f t="shared" si="0"/>
        <v>11.3</v>
      </c>
    </row>
    <row r="25" spans="1:35" x14ac:dyDescent="0.3">
      <c r="A25" s="26">
        <v>19</v>
      </c>
      <c r="B25" s="8" t="s">
        <v>311</v>
      </c>
      <c r="C25" s="6" t="s">
        <v>312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8.8000000000000007</v>
      </c>
      <c r="AE25" s="7">
        <v>5.5</v>
      </c>
      <c r="AF25" s="7">
        <v>8.8000000000000007</v>
      </c>
      <c r="AG25" s="7"/>
      <c r="AH25" s="7"/>
      <c r="AI25" s="2">
        <f t="shared" si="0"/>
        <v>23.1</v>
      </c>
    </row>
    <row r="26" spans="1:35" x14ac:dyDescent="0.3">
      <c r="A26" s="26">
        <v>20</v>
      </c>
      <c r="B26" s="8" t="s">
        <v>249</v>
      </c>
      <c r="C26" s="9" t="s">
        <v>313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>
        <v>8.8000000000000007</v>
      </c>
      <c r="AH26" s="7"/>
      <c r="AI26" s="2">
        <f t="shared" si="0"/>
        <v>8.8000000000000007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0</v>
      </c>
      <c r="G107" s="3">
        <f t="shared" si="1"/>
        <v>0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0</v>
      </c>
      <c r="N107" s="3">
        <f t="shared" si="1"/>
        <v>0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0</v>
      </c>
      <c r="U107" s="3">
        <f t="shared" si="1"/>
        <v>0</v>
      </c>
      <c r="V107" s="3">
        <f t="shared" si="1"/>
        <v>9</v>
      </c>
      <c r="W107" s="3">
        <f t="shared" si="1"/>
        <v>9</v>
      </c>
      <c r="X107" s="3">
        <f t="shared" si="1"/>
        <v>9.5</v>
      </c>
      <c r="Y107" s="3">
        <f t="shared" si="1"/>
        <v>9</v>
      </c>
      <c r="Z107" s="3">
        <f t="shared" si="1"/>
        <v>10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8.8000000000000007</v>
      </c>
      <c r="AE107" s="3">
        <f t="shared" si="1"/>
        <v>8.8000000000000007</v>
      </c>
      <c r="AF107" s="3">
        <f t="shared" si="1"/>
        <v>8.8000000000000007</v>
      </c>
      <c r="AG107" s="3">
        <f t="shared" si="1"/>
        <v>8.8000000000000007</v>
      </c>
      <c r="AH107" s="3">
        <f t="shared" si="1"/>
        <v>0</v>
      </c>
      <c r="AI107" s="1">
        <f>SUM(D107:AH107)</f>
        <v>198.70000000000005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07"/>
  <sheetViews>
    <sheetView zoomScale="85" zoomScaleNormal="85" workbookViewId="0">
      <pane xSplit="3" topLeftCell="T1" activePane="topRight" state="frozen"/>
      <selection pane="topRight" activeCell="C32" sqref="C32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249</v>
      </c>
      <c r="C7" s="15" t="s">
        <v>255</v>
      </c>
      <c r="D7" s="13"/>
      <c r="E7" s="5">
        <v>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</v>
      </c>
    </row>
    <row r="8" spans="1:35" x14ac:dyDescent="0.3">
      <c r="A8" s="26">
        <v>2</v>
      </c>
      <c r="B8" s="8" t="s">
        <v>311</v>
      </c>
      <c r="C8" s="9" t="s">
        <v>333</v>
      </c>
      <c r="D8" s="7"/>
      <c r="E8" s="7">
        <v>3</v>
      </c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1.8</v>
      </c>
      <c r="AE8" s="7"/>
      <c r="AF8" s="7"/>
      <c r="AG8" s="7">
        <v>2</v>
      </c>
      <c r="AH8" s="7"/>
      <c r="AI8" s="2">
        <f t="shared" si="0"/>
        <v>8.8000000000000007</v>
      </c>
    </row>
    <row r="9" spans="1:35" x14ac:dyDescent="0.3">
      <c r="A9" s="26">
        <v>3</v>
      </c>
      <c r="B9" s="8" t="s">
        <v>307</v>
      </c>
      <c r="C9" s="9" t="s">
        <v>314</v>
      </c>
      <c r="D9" s="7"/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8" t="s">
        <v>129</v>
      </c>
      <c r="C10" s="9" t="s">
        <v>315</v>
      </c>
      <c r="D10" s="7"/>
      <c r="E10" s="7"/>
      <c r="F10" s="7">
        <v>2</v>
      </c>
      <c r="G10" s="7">
        <v>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3">
      <c r="A11" s="26">
        <v>5</v>
      </c>
      <c r="B11" s="8" t="s">
        <v>34</v>
      </c>
      <c r="C11" s="6" t="s">
        <v>316</v>
      </c>
      <c r="D11" s="7"/>
      <c r="E11" s="7"/>
      <c r="F11" s="7">
        <v>2.5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2.5</v>
      </c>
    </row>
    <row r="12" spans="1:35" x14ac:dyDescent="0.3">
      <c r="A12" s="26">
        <v>6</v>
      </c>
      <c r="B12" s="8" t="s">
        <v>249</v>
      </c>
      <c r="C12" s="9" t="s">
        <v>317</v>
      </c>
      <c r="D12" s="7"/>
      <c r="E12" s="7"/>
      <c r="F12" s="7">
        <v>2.5</v>
      </c>
      <c r="G12" s="7">
        <v>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3.5</v>
      </c>
    </row>
    <row r="13" spans="1:35" x14ac:dyDescent="0.3">
      <c r="A13" s="26">
        <v>7</v>
      </c>
      <c r="B13" s="8" t="s">
        <v>318</v>
      </c>
      <c r="C13" s="9" t="s">
        <v>319</v>
      </c>
      <c r="D13" s="7"/>
      <c r="E13" s="7"/>
      <c r="F13" s="7"/>
      <c r="G13" s="7">
        <v>3.5</v>
      </c>
      <c r="H13" s="7">
        <v>3</v>
      </c>
      <c r="I13" s="7">
        <v>8</v>
      </c>
      <c r="J13" s="7"/>
      <c r="K13" s="7"/>
      <c r="L13" s="7">
        <v>3</v>
      </c>
      <c r="M13" s="7">
        <v>7</v>
      </c>
      <c r="N13" s="7">
        <v>2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26.5</v>
      </c>
    </row>
    <row r="14" spans="1:35" x14ac:dyDescent="0.3">
      <c r="A14" s="26">
        <v>8</v>
      </c>
      <c r="B14" s="8" t="s">
        <v>321</v>
      </c>
      <c r="C14" s="9" t="s">
        <v>320</v>
      </c>
      <c r="D14" s="7"/>
      <c r="E14" s="7"/>
      <c r="F14" s="7"/>
      <c r="G14" s="7">
        <v>3.5</v>
      </c>
      <c r="H14" s="7">
        <v>6</v>
      </c>
      <c r="I14" s="7">
        <v>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10.5</v>
      </c>
    </row>
    <row r="15" spans="1:35" x14ac:dyDescent="0.3">
      <c r="A15" s="26">
        <v>9</v>
      </c>
      <c r="B15" s="9" t="s">
        <v>289</v>
      </c>
      <c r="C15" s="9" t="s">
        <v>322</v>
      </c>
      <c r="D15" s="7"/>
      <c r="E15" s="7"/>
      <c r="F15" s="7"/>
      <c r="G15" s="7"/>
      <c r="H15" s="7"/>
      <c r="I15" s="7"/>
      <c r="J15" s="7"/>
      <c r="K15" s="7"/>
      <c r="L15" s="7">
        <v>3</v>
      </c>
      <c r="M15" s="7">
        <v>2</v>
      </c>
      <c r="N15" s="7">
        <v>7</v>
      </c>
      <c r="O15" s="7">
        <v>8.8000000000000007</v>
      </c>
      <c r="P15" s="7">
        <v>8.8000000000000007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>
        <v>1.5</v>
      </c>
      <c r="AE15" s="7"/>
      <c r="AF15" s="7"/>
      <c r="AG15" s="7"/>
      <c r="AH15" s="7"/>
      <c r="AI15" s="2">
        <f t="shared" si="0"/>
        <v>31.1</v>
      </c>
    </row>
    <row r="16" spans="1:35" x14ac:dyDescent="0.3">
      <c r="A16" s="26">
        <v>10</v>
      </c>
      <c r="B16" s="9" t="s">
        <v>307</v>
      </c>
      <c r="C16" s="8" t="s">
        <v>310</v>
      </c>
      <c r="D16" s="7"/>
      <c r="E16" s="7"/>
      <c r="F16" s="7"/>
      <c r="G16" s="7"/>
      <c r="H16" s="7"/>
      <c r="I16" s="7"/>
      <c r="J16" s="7"/>
      <c r="K16" s="7"/>
      <c r="L16" s="7">
        <v>3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>
        <v>2</v>
      </c>
      <c r="AH16" s="7"/>
      <c r="AI16" s="2">
        <f t="shared" si="0"/>
        <v>5</v>
      </c>
    </row>
    <row r="17" spans="1:35" x14ac:dyDescent="0.3">
      <c r="A17" s="26">
        <v>11</v>
      </c>
      <c r="B17" s="9" t="s">
        <v>323</v>
      </c>
      <c r="C17" s="9" t="s">
        <v>324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>
        <v>4</v>
      </c>
      <c r="U17" s="7">
        <v>2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6</v>
      </c>
    </row>
    <row r="18" spans="1:35" x14ac:dyDescent="0.3">
      <c r="A18" s="26">
        <v>12</v>
      </c>
      <c r="B18" s="9" t="s">
        <v>289</v>
      </c>
      <c r="C18" s="9" t="s">
        <v>325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>
        <v>8.8000000000000007</v>
      </c>
      <c r="T18" s="7"/>
      <c r="U18" s="7">
        <v>3</v>
      </c>
      <c r="V18" s="7">
        <v>2.8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14.600000000000001</v>
      </c>
    </row>
    <row r="19" spans="1:35" x14ac:dyDescent="0.3">
      <c r="A19" s="26">
        <v>13</v>
      </c>
      <c r="B19" s="8" t="s">
        <v>129</v>
      </c>
      <c r="C19" s="9" t="s">
        <v>290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>
        <v>4.8</v>
      </c>
      <c r="U19" s="7">
        <v>3.8</v>
      </c>
      <c r="V19" s="7">
        <v>3</v>
      </c>
      <c r="W19" s="7">
        <v>4</v>
      </c>
      <c r="X19" s="7"/>
      <c r="Y19" s="7"/>
      <c r="Z19" s="7"/>
      <c r="AA19" s="7"/>
      <c r="AB19" s="7"/>
      <c r="AC19" s="7"/>
      <c r="AD19" s="7">
        <v>0.5</v>
      </c>
      <c r="AE19" s="7"/>
      <c r="AF19" s="7"/>
      <c r="AG19" s="7"/>
      <c r="AH19" s="7"/>
      <c r="AI19" s="2">
        <f t="shared" si="0"/>
        <v>16.100000000000001</v>
      </c>
    </row>
    <row r="20" spans="1:35" x14ac:dyDescent="0.3">
      <c r="A20" s="26">
        <v>14</v>
      </c>
      <c r="B20" s="8" t="s">
        <v>46</v>
      </c>
      <c r="C20" s="9" t="s">
        <v>332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3</v>
      </c>
      <c r="W20" s="7">
        <v>4.8</v>
      </c>
      <c r="X20" s="7"/>
      <c r="Y20" s="7"/>
      <c r="Z20" s="7">
        <v>8</v>
      </c>
      <c r="AA20" s="7">
        <v>8.8000000000000007</v>
      </c>
      <c r="AB20" s="7">
        <v>1.8</v>
      </c>
      <c r="AC20" s="7">
        <v>0.8</v>
      </c>
      <c r="AD20" s="7"/>
      <c r="AE20" s="7"/>
      <c r="AF20" s="7"/>
      <c r="AG20" s="7"/>
      <c r="AH20" s="7"/>
      <c r="AI20" s="2">
        <f t="shared" si="0"/>
        <v>27.200000000000003</v>
      </c>
    </row>
    <row r="21" spans="1:35" x14ac:dyDescent="0.3">
      <c r="A21" s="26">
        <v>15</v>
      </c>
      <c r="B21" s="9" t="s">
        <v>326</v>
      </c>
      <c r="C21" s="9" t="s">
        <v>327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0.8</v>
      </c>
      <c r="AA21" s="7"/>
      <c r="AB21" s="7"/>
      <c r="AC21" s="7"/>
      <c r="AD21" s="7"/>
      <c r="AE21" s="7"/>
      <c r="AF21" s="7"/>
      <c r="AG21" s="7"/>
      <c r="AH21" s="7"/>
      <c r="AI21" s="2">
        <f t="shared" si="0"/>
        <v>0.8</v>
      </c>
    </row>
    <row r="22" spans="1:35" x14ac:dyDescent="0.3">
      <c r="A22" s="26">
        <v>16</v>
      </c>
      <c r="B22" s="8" t="s">
        <v>328</v>
      </c>
      <c r="C22" s="8" t="s">
        <v>329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>
        <v>6</v>
      </c>
      <c r="AC22" s="7">
        <v>8</v>
      </c>
      <c r="AD22" s="7">
        <v>5</v>
      </c>
      <c r="AE22" s="7"/>
      <c r="AF22" s="7"/>
      <c r="AG22" s="7">
        <v>1.8</v>
      </c>
      <c r="AH22" s="7"/>
      <c r="AI22" s="2">
        <f t="shared" si="0"/>
        <v>20.8</v>
      </c>
    </row>
    <row r="23" spans="1:35" x14ac:dyDescent="0.3">
      <c r="A23" s="26">
        <v>17</v>
      </c>
      <c r="B23" s="8" t="s">
        <v>330</v>
      </c>
      <c r="C23" s="8" t="s">
        <v>331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1</v>
      </c>
      <c r="AC23" s="7"/>
      <c r="AD23" s="7"/>
      <c r="AE23" s="7"/>
      <c r="AF23" s="7"/>
      <c r="AG23" s="7"/>
      <c r="AH23" s="7"/>
      <c r="AI23" s="2">
        <f t="shared" si="0"/>
        <v>1</v>
      </c>
    </row>
    <row r="24" spans="1:35" x14ac:dyDescent="0.3">
      <c r="A24" s="26">
        <v>18</v>
      </c>
      <c r="B24" s="8" t="s">
        <v>334</v>
      </c>
      <c r="C24" s="9" t="s">
        <v>335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>
        <v>3</v>
      </c>
      <c r="AH24" s="7"/>
      <c r="AI24" s="2">
        <f t="shared" si="0"/>
        <v>3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9</v>
      </c>
      <c r="M107" s="3">
        <f t="shared" si="1"/>
        <v>9</v>
      </c>
      <c r="N107" s="3">
        <f t="shared" si="1"/>
        <v>9</v>
      </c>
      <c r="O107" s="3">
        <f t="shared" si="1"/>
        <v>8.8000000000000007</v>
      </c>
      <c r="P107" s="3">
        <f t="shared" si="1"/>
        <v>8.8000000000000007</v>
      </c>
      <c r="Q107" s="3">
        <f t="shared" si="1"/>
        <v>0</v>
      </c>
      <c r="R107" s="3">
        <f t="shared" si="1"/>
        <v>0</v>
      </c>
      <c r="S107" s="3">
        <f t="shared" si="1"/>
        <v>8.8000000000000007</v>
      </c>
      <c r="T107" s="3">
        <f t="shared" si="1"/>
        <v>8.8000000000000007</v>
      </c>
      <c r="U107" s="3">
        <f t="shared" si="1"/>
        <v>8.8000000000000007</v>
      </c>
      <c r="V107" s="3">
        <f t="shared" si="1"/>
        <v>8.8000000000000007</v>
      </c>
      <c r="W107" s="3">
        <f t="shared" si="1"/>
        <v>8.8000000000000007</v>
      </c>
      <c r="X107" s="3">
        <f t="shared" si="1"/>
        <v>0</v>
      </c>
      <c r="Y107" s="3">
        <f t="shared" si="1"/>
        <v>0</v>
      </c>
      <c r="Z107" s="3">
        <f t="shared" si="1"/>
        <v>8.8000000000000007</v>
      </c>
      <c r="AA107" s="3">
        <f t="shared" si="1"/>
        <v>8.8000000000000007</v>
      </c>
      <c r="AB107" s="3">
        <f t="shared" si="1"/>
        <v>8.8000000000000007</v>
      </c>
      <c r="AC107" s="3">
        <f t="shared" si="1"/>
        <v>8.8000000000000007</v>
      </c>
      <c r="AD107" s="3">
        <f t="shared" si="1"/>
        <v>8.8000000000000007</v>
      </c>
      <c r="AE107" s="3">
        <f t="shared" si="1"/>
        <v>0</v>
      </c>
      <c r="AF107" s="3">
        <f t="shared" si="1"/>
        <v>0</v>
      </c>
      <c r="AG107" s="3">
        <f t="shared" si="1"/>
        <v>8.8000000000000007</v>
      </c>
      <c r="AH107" s="3">
        <f t="shared" si="1"/>
        <v>0</v>
      </c>
      <c r="AI107" s="1">
        <f>SUM(D107:AH107)</f>
        <v>186.40000000000006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7"/>
  <sheetViews>
    <sheetView tabSelected="1" zoomScale="85" zoomScaleNormal="85" workbookViewId="0">
      <pane xSplit="3" topLeftCell="T1" activePane="topRight" state="frozen"/>
      <selection pane="topRight" activeCell="AH24" sqref="AH24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289</v>
      </c>
      <c r="C7" s="4" t="s">
        <v>322</v>
      </c>
      <c r="D7" s="13">
        <v>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v>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3">
      <c r="A8" s="26">
        <v>2</v>
      </c>
      <c r="B8" s="9" t="s">
        <v>289</v>
      </c>
      <c r="C8" s="6" t="s">
        <v>336</v>
      </c>
      <c r="D8" s="7">
        <v>4.8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>
        <v>3</v>
      </c>
      <c r="T8" s="7"/>
      <c r="U8" s="7"/>
      <c r="V8" s="7"/>
      <c r="W8" s="7"/>
      <c r="X8" s="7">
        <v>1</v>
      </c>
      <c r="Y8" s="7"/>
      <c r="Z8" s="7"/>
      <c r="AA8" s="7"/>
      <c r="AB8" s="7"/>
      <c r="AC8" s="7"/>
      <c r="AD8" s="7"/>
      <c r="AE8" s="7"/>
      <c r="AF8" s="7">
        <v>1</v>
      </c>
      <c r="AG8" s="7"/>
      <c r="AH8" s="7"/>
      <c r="AI8" s="2">
        <f t="shared" si="0"/>
        <v>9.8000000000000007</v>
      </c>
    </row>
    <row r="9" spans="1:35" x14ac:dyDescent="0.3">
      <c r="A9" s="26">
        <v>3</v>
      </c>
      <c r="B9" s="8" t="s">
        <v>311</v>
      </c>
      <c r="C9" s="6" t="s">
        <v>337</v>
      </c>
      <c r="D9" s="7">
        <v>3</v>
      </c>
      <c r="E9" s="7"/>
      <c r="F9" s="7">
        <v>4</v>
      </c>
      <c r="G9" s="7">
        <v>2</v>
      </c>
      <c r="H9" s="7"/>
      <c r="I9" s="7"/>
      <c r="J9" s="7">
        <v>0.5</v>
      </c>
      <c r="K9" s="7"/>
      <c r="L9" s="7"/>
      <c r="M9" s="7"/>
      <c r="N9" s="7"/>
      <c r="O9" s="7"/>
      <c r="P9" s="7"/>
      <c r="Q9" s="7"/>
      <c r="R9" s="7"/>
      <c r="S9" s="42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9.5</v>
      </c>
    </row>
    <row r="10" spans="1:35" x14ac:dyDescent="0.3">
      <c r="A10" s="26">
        <v>4</v>
      </c>
      <c r="B10" s="8" t="s">
        <v>318</v>
      </c>
      <c r="C10" s="6" t="s">
        <v>319</v>
      </c>
      <c r="D10" s="7"/>
      <c r="E10" s="7">
        <v>8.8000000000000007</v>
      </c>
      <c r="F10" s="7">
        <v>4.8</v>
      </c>
      <c r="G10" s="7">
        <v>6.8</v>
      </c>
      <c r="H10" s="7"/>
      <c r="I10" s="7"/>
      <c r="J10" s="7">
        <v>6.8</v>
      </c>
      <c r="K10" s="7">
        <v>4.8</v>
      </c>
      <c r="L10" s="7"/>
      <c r="M10" s="7"/>
      <c r="N10" s="7">
        <v>8.8000000000000007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v>1</v>
      </c>
      <c r="AC10" s="7"/>
      <c r="AD10" s="7"/>
      <c r="AE10" s="7">
        <v>7.8</v>
      </c>
      <c r="AF10" s="7"/>
      <c r="AG10" s="7">
        <v>1.8</v>
      </c>
      <c r="AH10" s="7"/>
      <c r="AI10" s="2">
        <f t="shared" si="0"/>
        <v>51.399999999999991</v>
      </c>
    </row>
    <row r="11" spans="1:35" x14ac:dyDescent="0.3">
      <c r="A11" s="26">
        <v>5</v>
      </c>
      <c r="B11" s="8" t="s">
        <v>46</v>
      </c>
      <c r="C11" s="9" t="s">
        <v>338</v>
      </c>
      <c r="D11" s="7"/>
      <c r="E11" s="7"/>
      <c r="F11" s="7"/>
      <c r="G11" s="7"/>
      <c r="H11" s="7"/>
      <c r="I11" s="7"/>
      <c r="J11" s="7">
        <v>1.5</v>
      </c>
      <c r="K11" s="7"/>
      <c r="L11" s="7"/>
      <c r="M11" s="7">
        <v>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5.5</v>
      </c>
    </row>
    <row r="12" spans="1:35" x14ac:dyDescent="0.3">
      <c r="A12" s="26">
        <v>6</v>
      </c>
      <c r="B12" s="8" t="s">
        <v>339</v>
      </c>
      <c r="C12" s="9" t="s">
        <v>340</v>
      </c>
      <c r="D12" s="7"/>
      <c r="E12" s="7"/>
      <c r="F12" s="7"/>
      <c r="G12" s="7"/>
      <c r="H12" s="7"/>
      <c r="I12" s="7"/>
      <c r="J12" s="7"/>
      <c r="K12" s="7">
        <v>2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</v>
      </c>
    </row>
    <row r="13" spans="1:35" x14ac:dyDescent="0.3">
      <c r="A13" s="26">
        <v>7</v>
      </c>
      <c r="B13" s="8" t="s">
        <v>341</v>
      </c>
      <c r="C13" s="6" t="s">
        <v>342</v>
      </c>
      <c r="D13" s="7"/>
      <c r="E13" s="7"/>
      <c r="F13" s="7"/>
      <c r="G13" s="7"/>
      <c r="H13" s="7"/>
      <c r="I13" s="7"/>
      <c r="J13" s="7"/>
      <c r="K13" s="7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1</v>
      </c>
    </row>
    <row r="14" spans="1:35" x14ac:dyDescent="0.3">
      <c r="A14" s="26">
        <v>8</v>
      </c>
      <c r="B14" s="8" t="s">
        <v>343</v>
      </c>
      <c r="C14" s="6" t="s">
        <v>344</v>
      </c>
      <c r="D14" s="7"/>
      <c r="E14" s="7"/>
      <c r="F14" s="7"/>
      <c r="G14" s="7"/>
      <c r="H14" s="7"/>
      <c r="I14" s="7"/>
      <c r="J14" s="7"/>
      <c r="K14" s="7">
        <v>1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</v>
      </c>
    </row>
    <row r="15" spans="1:35" x14ac:dyDescent="0.3">
      <c r="A15" s="26">
        <v>9</v>
      </c>
      <c r="B15" s="8" t="s">
        <v>46</v>
      </c>
      <c r="C15" s="9" t="s">
        <v>345</v>
      </c>
      <c r="D15" s="7"/>
      <c r="E15" s="7"/>
      <c r="F15" s="7"/>
      <c r="G15" s="7"/>
      <c r="H15" s="7"/>
      <c r="I15" s="7"/>
      <c r="J15" s="7"/>
      <c r="K15" s="7"/>
      <c r="L15" s="7">
        <v>8.8000000000000007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8.8000000000000007</v>
      </c>
    </row>
    <row r="16" spans="1:35" x14ac:dyDescent="0.3">
      <c r="A16" s="26">
        <v>10</v>
      </c>
      <c r="B16" s="8" t="s">
        <v>46</v>
      </c>
      <c r="C16" s="9" t="s">
        <v>346</v>
      </c>
      <c r="D16" s="7"/>
      <c r="E16" s="7"/>
      <c r="F16" s="7"/>
      <c r="G16" s="7"/>
      <c r="H16" s="7"/>
      <c r="I16" s="7"/>
      <c r="J16" s="7"/>
      <c r="K16" s="7"/>
      <c r="L16" s="7"/>
      <c r="M16" s="7">
        <v>4.8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4.8</v>
      </c>
    </row>
    <row r="17" spans="1:35" x14ac:dyDescent="0.3">
      <c r="A17" s="26">
        <v>11</v>
      </c>
      <c r="B17" s="8" t="s">
        <v>349</v>
      </c>
      <c r="C17" s="9" t="s">
        <v>350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>
        <v>7.8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7.8</v>
      </c>
    </row>
    <row r="18" spans="1:35" x14ac:dyDescent="0.3">
      <c r="A18" s="26">
        <v>12</v>
      </c>
      <c r="B18" s="9" t="s">
        <v>308</v>
      </c>
      <c r="C18" s="9" t="s">
        <v>351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>
        <v>1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3">
      <c r="A19" s="26">
        <v>13</v>
      </c>
      <c r="B19" s="8" t="s">
        <v>347</v>
      </c>
      <c r="C19" s="9" t="s">
        <v>348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>
        <v>5.8</v>
      </c>
      <c r="S19" s="7">
        <v>5.8</v>
      </c>
      <c r="T19" s="7">
        <v>8.8000000000000007</v>
      </c>
      <c r="U19" s="7">
        <v>5.8</v>
      </c>
      <c r="V19" s="7"/>
      <c r="W19" s="7"/>
      <c r="X19" s="7">
        <v>7.8</v>
      </c>
      <c r="Y19" s="7">
        <v>9</v>
      </c>
      <c r="Z19" s="7">
        <v>8.8000000000000007</v>
      </c>
      <c r="AA19" s="7">
        <v>8.8000000000000007</v>
      </c>
      <c r="AB19" s="7">
        <v>7.8</v>
      </c>
      <c r="AC19" s="7"/>
      <c r="AD19" s="7"/>
      <c r="AE19" s="7">
        <v>1</v>
      </c>
      <c r="AF19" s="7"/>
      <c r="AG19" s="7"/>
      <c r="AH19" s="7"/>
      <c r="AI19" s="2">
        <f t="shared" si="0"/>
        <v>69.399999999999991</v>
      </c>
    </row>
    <row r="20" spans="1:35" x14ac:dyDescent="0.3">
      <c r="A20" s="26">
        <v>14</v>
      </c>
      <c r="B20" s="8" t="s">
        <v>285</v>
      </c>
      <c r="C20" s="9" t="s">
        <v>352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>
        <v>3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3</v>
      </c>
    </row>
    <row r="21" spans="1:35" x14ac:dyDescent="0.3">
      <c r="A21" s="26">
        <v>15</v>
      </c>
      <c r="B21" s="8" t="s">
        <v>353</v>
      </c>
      <c r="C21" s="9" t="s">
        <v>354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>
        <v>7.8</v>
      </c>
      <c r="AG21" s="7">
        <v>7</v>
      </c>
      <c r="AH21" s="7"/>
      <c r="AI21" s="2">
        <f t="shared" si="0"/>
        <v>14.8</v>
      </c>
    </row>
    <row r="22" spans="1:35" x14ac:dyDescent="0.3">
      <c r="A22" s="26">
        <v>16</v>
      </c>
      <c r="B22" s="8" t="s">
        <v>330</v>
      </c>
      <c r="C22" s="9" t="s">
        <v>358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>
        <v>3</v>
      </c>
      <c r="AI22" s="2">
        <f t="shared" si="0"/>
        <v>3</v>
      </c>
    </row>
    <row r="23" spans="1:35" x14ac:dyDescent="0.3">
      <c r="A23" s="26">
        <v>17</v>
      </c>
      <c r="B23" s="8" t="s">
        <v>356</v>
      </c>
      <c r="C23" s="48" t="s">
        <v>357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>
        <v>5.8</v>
      </c>
      <c r="AI23" s="2">
        <f t="shared" si="0"/>
        <v>5.8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8.8000000000000007</v>
      </c>
      <c r="E107" s="12">
        <f t="shared" si="1"/>
        <v>8.8000000000000007</v>
      </c>
      <c r="F107" s="12">
        <f t="shared" si="1"/>
        <v>8.8000000000000007</v>
      </c>
      <c r="G107" s="3">
        <f t="shared" si="1"/>
        <v>8.8000000000000007</v>
      </c>
      <c r="H107" s="3">
        <f t="shared" si="1"/>
        <v>0</v>
      </c>
      <c r="I107" s="3">
        <f t="shared" si="1"/>
        <v>0</v>
      </c>
      <c r="J107" s="3">
        <f t="shared" si="1"/>
        <v>8.8000000000000007</v>
      </c>
      <c r="K107" s="3">
        <f t="shared" si="1"/>
        <v>8.8000000000000007</v>
      </c>
      <c r="L107" s="3">
        <f t="shared" si="1"/>
        <v>8.8000000000000007</v>
      </c>
      <c r="M107" s="3">
        <f t="shared" si="1"/>
        <v>8.8000000000000007</v>
      </c>
      <c r="N107" s="3">
        <f t="shared" si="1"/>
        <v>8.8000000000000007</v>
      </c>
      <c r="O107" s="3">
        <f t="shared" si="1"/>
        <v>0</v>
      </c>
      <c r="P107" s="3">
        <f t="shared" si="1"/>
        <v>0</v>
      </c>
      <c r="Q107" s="3">
        <f t="shared" si="1"/>
        <v>8.8000000000000007</v>
      </c>
      <c r="R107" s="3">
        <f t="shared" si="1"/>
        <v>8.8000000000000007</v>
      </c>
      <c r="S107" s="3">
        <f t="shared" si="1"/>
        <v>8.8000000000000007</v>
      </c>
      <c r="T107" s="3">
        <f t="shared" si="1"/>
        <v>8.8000000000000007</v>
      </c>
      <c r="U107" s="3">
        <f t="shared" si="1"/>
        <v>8.8000000000000007</v>
      </c>
      <c r="V107" s="3">
        <f t="shared" si="1"/>
        <v>0</v>
      </c>
      <c r="W107" s="3">
        <f t="shared" si="1"/>
        <v>0</v>
      </c>
      <c r="X107" s="3">
        <f t="shared" si="1"/>
        <v>8.8000000000000007</v>
      </c>
      <c r="Y107" s="3">
        <f t="shared" si="1"/>
        <v>9</v>
      </c>
      <c r="Z107" s="3">
        <f t="shared" si="1"/>
        <v>8.8000000000000007</v>
      </c>
      <c r="AA107" s="3">
        <f t="shared" si="1"/>
        <v>8.8000000000000007</v>
      </c>
      <c r="AB107" s="3">
        <f t="shared" si="1"/>
        <v>8.8000000000000007</v>
      </c>
      <c r="AC107" s="3">
        <f t="shared" si="1"/>
        <v>0</v>
      </c>
      <c r="AD107" s="3">
        <f t="shared" si="1"/>
        <v>0</v>
      </c>
      <c r="AE107" s="3">
        <f t="shared" si="1"/>
        <v>8.8000000000000007</v>
      </c>
      <c r="AF107" s="3">
        <f t="shared" si="1"/>
        <v>8.8000000000000007</v>
      </c>
      <c r="AG107" s="3">
        <f t="shared" si="1"/>
        <v>8.8000000000000007</v>
      </c>
      <c r="AH107" s="3">
        <f t="shared" si="1"/>
        <v>8.8000000000000007</v>
      </c>
      <c r="AI107" s="1">
        <f>SUM(D107:AH107)</f>
        <v>202.60000000000005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07"/>
  <sheetViews>
    <sheetView zoomScale="85" zoomScaleNormal="85" workbookViewId="0">
      <pane xSplit="3" topLeftCell="D1" activePane="topRight" state="frozen"/>
      <selection pane="topRight" activeCell="C17" sqref="C17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34</v>
      </c>
      <c r="C7" s="47" t="s">
        <v>355</v>
      </c>
      <c r="D7" s="13"/>
      <c r="E7" s="5"/>
      <c r="F7" s="5"/>
      <c r="G7" s="5">
        <v>8.8000000000000007</v>
      </c>
      <c r="H7" s="5">
        <v>8.8000000000000007</v>
      </c>
      <c r="I7" s="5">
        <v>8.8000000000000007</v>
      </c>
      <c r="J7" s="5">
        <v>8.8000000000000007</v>
      </c>
      <c r="K7" s="5">
        <v>8.8000000000000007</v>
      </c>
      <c r="L7" s="5"/>
      <c r="M7" s="5"/>
      <c r="N7" s="5">
        <v>8.8000000000000007</v>
      </c>
      <c r="O7" s="5">
        <v>8.8000000000000007</v>
      </c>
      <c r="P7" s="5">
        <v>8.8000000000000007</v>
      </c>
      <c r="Q7" s="5">
        <v>8.8000000000000007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79.199999999999989</v>
      </c>
    </row>
    <row r="8" spans="1:35" x14ac:dyDescent="0.3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8.8000000000000007</v>
      </c>
      <c r="H107" s="3">
        <f t="shared" si="1"/>
        <v>8.8000000000000007</v>
      </c>
      <c r="I107" s="3">
        <f t="shared" si="1"/>
        <v>8.8000000000000007</v>
      </c>
      <c r="J107" s="3">
        <f t="shared" si="1"/>
        <v>8.8000000000000007</v>
      </c>
      <c r="K107" s="3">
        <f t="shared" si="1"/>
        <v>8.8000000000000007</v>
      </c>
      <c r="L107" s="3">
        <f t="shared" si="1"/>
        <v>0</v>
      </c>
      <c r="M107" s="3">
        <f t="shared" si="1"/>
        <v>0</v>
      </c>
      <c r="N107" s="3">
        <f t="shared" si="1"/>
        <v>8.8000000000000007</v>
      </c>
      <c r="O107" s="3">
        <f t="shared" si="1"/>
        <v>8.8000000000000007</v>
      </c>
      <c r="P107" s="3">
        <f t="shared" si="1"/>
        <v>8.8000000000000007</v>
      </c>
      <c r="Q107" s="3">
        <f t="shared" si="1"/>
        <v>8.8000000000000007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79.199999999999989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107"/>
  <sheetViews>
    <sheetView zoomScale="70" zoomScaleNormal="70" workbookViewId="0">
      <pane xSplit="3" topLeftCell="AD1" activePane="topRight" state="frozen"/>
      <selection pane="topRight" activeCell="AE39" sqref="AE39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2024-10-31T21:18:58Z</dcterms:modified>
</cp:coreProperties>
</file>