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AC86786B-A99E-458A-85C9-257DE4CE318C}" xr6:coauthVersionLast="47" xr6:coauthVersionMax="47" xr10:uidLastSave="{00000000-0000-0000-0000-000000000000}"/>
  <workbookProtection workbookPassword="CF6C" lockStructure="1"/>
  <bookViews>
    <workbookView xWindow="20370" yWindow="-120" windowWidth="29040" windowHeight="15720" tabRatio="798" activeTab="10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<sst xmlns="http://schemas.openxmlformats.org/spreadsheetml/2006/main" count="704" uniqueCount="363">
  <si>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</si>
  <si>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</si>
  <si>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</si>
  <si>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</si>
  <si>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</si>
  <si>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</si>
  <si>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</si>
  <si>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</si>
  <si>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</si>
  <si>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</si>
  <si>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</si>
  <si>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</si>
  <si>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</si>
  <si>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</si>
  <si>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</si>
  <si>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</si>
  <si>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</si>
  <si>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</si>
  <si>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</si>
  <si>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</si>
  <si>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</si>
  <si>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</si>
  <si>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</si>
  <si>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</si>
  <si>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</si>
  <si>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</si>
  <si>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</si>
  <si>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</si>
  <si>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</si>
  <si>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</si>
  <si>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</si>
  <si>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</si>
  <si>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</si>
  <si>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</si>
  <si>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</si>
  <si>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</si>
  <si>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</si>
  <si>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</si>
  <si>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</si>
  <si>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</si>
  <si>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</si>
  <si>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</si>
  <si>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</si>
  <si>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</si>
  <si>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</si>
  <si>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</si>
  <si>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</si>
  <si>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</si>
  <si>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</si>
  <si>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</si>
  <si>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</si>
  <si>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</si>
  <si>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</si>
  <si>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</si>
  <si>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</si>
  <si>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</si>
  <si>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</si>
  <si>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</si>
  <si>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</si>
  <si>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</si>
  <si>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</si>
  <si>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</si>
  <si>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</si>
  <si>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</si>
  <si>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</si>
  <si>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</si>
  <si>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</si>
  <si>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</si>
  <si>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</si>
  <si>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</si>
  <si>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</si>
  <si>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</si>
  <si>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</si>
  <si>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</si>
  <si>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</si>
  <si>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</si>
  <si>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</si>
  <si>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</si>
  <si>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</si>
  <si>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</si>
  <si>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</si>
  <si>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</si>
  <si>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</si>
  <si>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</si>
  <si>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</si>
  <si>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</si>
  <si>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</si>
  <si>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</si>
  <si>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</si>
  <si>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</si>
  <si>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</si>
  <si>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</si>
  <si>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</si>
  <si>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</si>
  <si>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</si>
  <si>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</si>
  <si>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</si>
  <si>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</si>
  <si>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</si>
  <si>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</si>
  <si>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</si>
  <si>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</si>
  <si>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</si>
  <si>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</si>
  <si>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</si>
  <si>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</si>
  <si>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</si>
  <si>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</si>
  <si>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</si>
  <si>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</si>
  <si>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</si>
  <si>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</si>
  <si>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</si>
  <si>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</si>
  <si>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</si>
  <si>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</si>
  <si>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</si>
  <si>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</si>
  <si>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</si>
  <si>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</si>
  <si>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</si>
  <si>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</si>
  <si>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</si>
  <si>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</si>
  <si>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</si>
  <si>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</si>
  <si>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</si>
  <si>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</si>
  <si>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</si>
  <si>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</si>
  <si>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</si>
  <si>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</si>
  <si>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</si>
  <si>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</si>
  <si>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</si>
  <si>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</si>
  <si>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</si>
  <si>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</si>
  <si>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</si>
  <si>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</si>
  <si>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</si>
  <si>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</si>
  <si>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</si>
  <si>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</si>
  <si>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</si>
  <si>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</si>
  <si>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</si>
  <si>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</si>
  <si>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</si>
  <si>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</si>
  <si>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</si>
  <si>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</si>
  <si>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</si>
  <si>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</si>
  <si>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</si>
  <si>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</si>
  <si>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</si>
  <si>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</si>
  <si>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</si>
  <si>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</si>
  <si>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</si>
  <si>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</si>
  <si>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</si>
  <si>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</si>
  <si>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</si>
  <si>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</si>
  <si>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</si>
  <si>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</si>
  <si>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</si>
  <si>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</si>
  <si>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</si>
  <si>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</si>
  <si>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</si>
  <si>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</si>
  <si>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</si>
  <si>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</si>
  <si>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</si>
  <si>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</si>
  <si>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</si>
  <si>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</si>
  <si>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</si>
  <si>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</si>
  <si>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</si>
  <si>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</si>
  <si>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</si>
  <si>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</si>
  <si>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</si>
  <si>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</si>
  <si>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</si>
  <si>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</si>
  <si>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</si>
  <si>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</si>
  <si>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</si>
  <si>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</si>
  <si>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</si>
  <si>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</si>
  <si>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</si>
  <si>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</si>
  <si>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</si>
  <si>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</si>
  <si>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</si>
  <si>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</si>
  <si>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</si>
  <si>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</si>
  <si>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</si>
  <si>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</si>
  <si>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</si>
  <si>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</si>
  <si>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</si>
  <si>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</si>
  <si>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</si>
  <si>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</si>
  <si>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</si>
  <si>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</si>
  <si>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</si>
  <si>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</si>
  <si>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</si>
  <si>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</si>
  <si>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</si>
  <si>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</si>
  <si>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</si>
  <si>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</si>
  <si>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</si>
  <si>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</si>
  <si>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</si>
  <si>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</si>
  <si>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</si>
  <si>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</si>
  <si>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</si>
  <si>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</si>
  <si>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</si>
  <si>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</si>
  <si>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</si>
  <si>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</si>
  <si>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</si>
  <si>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</si>
  <si>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</si>
  <si>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</si>
  <si>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</si>
  <si>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</si>
  <si>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</si>
  <si>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</si>
  <si>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</si>
  <si>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</si>
  <si>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</si>
  <si>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</si>
  <si>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</si>
  <si>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</si>
  <si>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</si>
  <si>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</si>
  <si>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</si>
  <si>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</si>
  <si>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</si>
  <si>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</si>
  <si>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</si>
  <si>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</si>
  <si>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</si>
  <si>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</si>
  <si>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</si>
  <si>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</si>
  <si>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</si>
  <si>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</si>
  <si>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</si>
  <si>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</si>
  <si>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</si>
  <si>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</si>
  <si>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</si>
  <si>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</si>
  <si>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</si>
  <si>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</si>
  <si>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</si>
  <si>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</si>
  <si>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</si>
  <si>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</si>
  <si>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</si>
  <si>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</si>
  <si>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</si>
  <si>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</si>
  <si>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</si>
  <si>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</si>
  <si>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</si>
  <si>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</si>
  <si>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</si>
  <si>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</si>
  <si>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</si>
  <si>
    <t>Neoenergia-Lote III-Mutum-Executivo-Elétrico-Conforme Construído--</t>
  </si>
  <si>
    <t>SE FORTALEZA I 230kV 04F1</t>
  </si>
  <si>
    <t>SE FORTALEZA I 230kV 04E5</t>
  </si>
  <si>
    <t>SE FORTALEZA I 230kV 04F3</t>
  </si>
  <si>
    <t>SIEMENS-BCS Colinas e Imperatriz-SE Imperatriz-Executivo-Elétrico-Diagramas de Interligação de SPCS--</t>
  </si>
  <si>
    <t>SE COLINAS 500kV VÃO B</t>
  </si>
  <si>
    <t>SE FORTALEZA 230kV 04Z4</t>
  </si>
  <si>
    <t>SE MUTUM CONFORME</t>
  </si>
  <si>
    <t>Siemens-PG 3881-DMG-Executivo-Elétrico-Serv. Auxiliares--</t>
  </si>
  <si>
    <t>SE DELMIRO GOUVEIA SERVIÇOS AUXILIARES</t>
  </si>
  <si>
    <t>Chesf-Reatores 500 kV_Projeto Básico e TRs-SE Imperatriz-Básico-Elétrico-Levantamento de Campo--</t>
  </si>
  <si>
    <t>CROQUI DISPOSIÇÃO DOS PAINEIS</t>
  </si>
  <si>
    <t>Chesf-Reatores 500 kV_Projeto Básico e TRs-SE Teresina II-Básico-Elétrico-Arquitetura de Rede--</t>
  </si>
  <si>
    <t>SE TEREZINA II ARQUITETURA SIMPLIFICADA</t>
  </si>
  <si>
    <t>Power China-UFV Mauriti-SE Mauriti-Executivo-Elétrico-Serviços Auxiliares--</t>
  </si>
  <si>
    <t>SE MAURITI SERVIÇOS AUXILIARES</t>
  </si>
  <si>
    <t>SE DELMIRO GOLVEIA 230kV 04H1</t>
  </si>
  <si>
    <t>SE FORTALEZA 230kV 04D1</t>
  </si>
  <si>
    <t>SE FORTALEZA 230kV 04Z6</t>
  </si>
  <si>
    <t>TREINAMENTO LGPD</t>
  </si>
  <si>
    <t>Chesf-Reatores 500 kV_Projeto Básico e TRs-SE Presidente Dutra-Básico-Elétrico-Disposição das Aparelhagens--</t>
  </si>
  <si>
    <t>PRESIDENTE DUTRA ARQUITETURA DIGITAL</t>
  </si>
  <si>
    <t>Siemens-PG 3881-CMA-Executivo-Elétrico-Conforme Construído--</t>
  </si>
  <si>
    <t>GE GRID-CS Arinos-S Arinos-Executivo-Eletromec.-Cx. De Ligação de TPs, TCs e Caixa de distribuição--</t>
  </si>
  <si>
    <t>SE ARINOS CAIXAS TP_TC CONFORME</t>
  </si>
  <si>
    <t>SE COREMAS CONFORME</t>
  </si>
  <si>
    <t>Hersa-Eunapolis BC_REA-SE Eunápolis-Executivo-Elétrico-Conforme Construído--</t>
  </si>
  <si>
    <t>SE EUNAPOLIS 230kV CONFORME</t>
  </si>
  <si>
    <t>DIGITALIZAÇÃO</t>
  </si>
  <si>
    <t>SE COREMAS 69kV CONFORME CONSTRUÍDO</t>
  </si>
  <si>
    <t>SE IMPERATRIZ 500kV VÃO EX FUNCIONAL FICTÍCIO</t>
  </si>
  <si>
    <t>PALESTRA TGI</t>
  </si>
  <si>
    <t>SE FORTALEZA 230kV 34BP-1</t>
  </si>
  <si>
    <t>Siemens-PG 1023-CGD-Executivo-Eletromec.-Conforme Construído--</t>
  </si>
  <si>
    <t>SE CAMPINA GRANDE CONFORME</t>
  </si>
  <si>
    <t>SE GOVERNADOR MANGABEIRA CONFORME</t>
  </si>
  <si>
    <t>Siemens-PG 2900-GVM-Executivo-Eletromec.-Conforme Construído--</t>
  </si>
  <si>
    <t>SE IMPERATRIZ 500kV VÃO E</t>
  </si>
  <si>
    <t>Chesf-Reatores 500 kV_Projeto Básico e TRs-SE Presidente Dutra-Básico-Elétrico-Arquitetura de Rede--</t>
  </si>
  <si>
    <t>SE PRESIDENTE DUTRA 500kV ARQUITETURA DIGITAL</t>
  </si>
  <si>
    <t>SE IMPERATRIZ SERVIÇO AUXILIAR</t>
  </si>
  <si>
    <t>Siemens-PG 2900-GVM-Executivo-Elétrico-Conforme Construído--</t>
  </si>
  <si>
    <t>SE GOVERNADOR MANGABEIRA 69kV CONFORME</t>
  </si>
  <si>
    <t>TALDI-SEs Natal III e Paraíso-SE Natal III-Executivo-Elétrica-Conforme Construído--</t>
  </si>
  <si>
    <t>SE NATAL III CONFORME</t>
  </si>
  <si>
    <t>Grantel-UFV Irecê-SE Irecê-Executivo-Elétrico-Disposição das Aparelhagens--</t>
  </si>
  <si>
    <t>SE IRECÊ APARELHAGEM CASA RELÉS</t>
  </si>
  <si>
    <t>SE EUNÁPOLES 230kV</t>
  </si>
  <si>
    <t>SE EUNAPOLIS CONFORME CONSTRUÍDO</t>
  </si>
  <si>
    <t>Interest-Interest-Reunião-Administrativo------</t>
  </si>
  <si>
    <t>PALESTRA INTEREST EM MOVIMENTO</t>
  </si>
  <si>
    <t>SE IMPERATRIZ SERVIÇOS AUXILIARES</t>
  </si>
  <si>
    <t>SE EUNÁPOLIS CONFORME</t>
  </si>
  <si>
    <t>SE EUNÁPOLIS 230kV VÃO B</t>
  </si>
  <si>
    <t>Chesf-Reatores 500 kV_Projeto Básico e TRs-SE Imperatriz-Básico-Elétrico-Arquitetura de Rede--</t>
  </si>
  <si>
    <t>SE IMPERATRIZ ARQUITETURA DIGITAL</t>
  </si>
  <si>
    <t>Chesf-Reatores 500 kV_Projeto Básico e TRs-SE Presidente Dutra-Básico-Elétrico-Diagrama Esquemático--</t>
  </si>
  <si>
    <t>SE PRESIDENTE DUTRA DIAGRAMA ESQUEMÁTICO</t>
  </si>
  <si>
    <t>Chesf-Reatores 500 kV_Projeto Básico e TRs-SE Imperatriz-Básico-Elétrico-Diagrama Esquemático--</t>
  </si>
  <si>
    <t>SE IMPERATRIZ DIAGRAMA ESQUEMÁTICO</t>
  </si>
  <si>
    <t>SE EUNÁPOLIS 230kV VÃO H</t>
  </si>
  <si>
    <t>SE EUNÁPOLIS 230kV VÃO D</t>
  </si>
  <si>
    <t>Siemens-PG 3881-MSD-Executivo-Elétrico-Conforme Construído--</t>
  </si>
  <si>
    <t>SE MOSSORÓ II CONFORME</t>
  </si>
  <si>
    <t>Omexom-CGE Babilônia Centro-SE Ourolândia II-Executivo-Elétrico-Diagramas de Interligação de SPCS--</t>
  </si>
  <si>
    <t>SE OUROLÂNDIA II 500kV PROTEÇÃO DE BARRA B2</t>
  </si>
  <si>
    <t>SE ARINOS CAIXAS DE PÁTIO</t>
  </si>
  <si>
    <t>SE MUTUM 500kV</t>
  </si>
  <si>
    <t>Siemens-PG 2900-CTU-Executivo-Elétrico-Conforme Construído--</t>
  </si>
  <si>
    <t>SE PITUAÇU  CONFORME</t>
  </si>
  <si>
    <t xml:space="preserve">Folgas </t>
  </si>
  <si>
    <t>Omexom-CGE Babilônia Centro-SE Babilônia Centro-Executivo-Elétrico-Conforme Contruído--</t>
  </si>
  <si>
    <t>CAIXA DE PÁTIO</t>
  </si>
  <si>
    <t>DISPOSIÇÃO DE APARELHAGEM</t>
  </si>
  <si>
    <t>SE PITUAÇU CONFORME</t>
  </si>
  <si>
    <t>Interest-Interest-Curso/Treinamento-Administrativo------</t>
  </si>
  <si>
    <t>Treinamento - Subestações digitais</t>
  </si>
  <si>
    <t>TEINAMNTO LGPD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</si>
</sst>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1400175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zoomScale="85" zoomScaleNormal="85" workbookViewId="0">
      <pane xSplit="3" topLeftCell="T1" activePane="topRight" state="frozen"/>
      <selection pane="topRight" activeCell="B32" sqref="B3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2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2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2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2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2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2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25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2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25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2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2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2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25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2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25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2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2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25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25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2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25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25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2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25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25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2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25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2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25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25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2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25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25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25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2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25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2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25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25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2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25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25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25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25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2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2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25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25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2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25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2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2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25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25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25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25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2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25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25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25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2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25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2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2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2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2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2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2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2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2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2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2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85" zoomScaleNormal="85" workbookViewId="0">
      <pane xSplit="3" topLeftCell="T1" activePane="topRight" state="frozen"/>
      <selection pane="topRight" activeCell="B21" sqref="B21:B2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.75" thickBot="1" x14ac:dyDescent="0.3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25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25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25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25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25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2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2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25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25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25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25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25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zoomScale="85" zoomScaleNormal="85" workbookViewId="0">
      <pane xSplit="3" topLeftCell="T1" activePane="topRight" state="frozen"/>
      <selection pane="topRight" activeCell="B15" sqref="B15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25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25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25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25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25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25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25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25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25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25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25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25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zoomScale="85" zoomScaleNormal="85" workbookViewId="0">
      <pane xSplit="3" topLeftCell="T1" activePane="topRight" state="frozen"/>
      <selection pane="topRight" activeCell="B35" sqref="B35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25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25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25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25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25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25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25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25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25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25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25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25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25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25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25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25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25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25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25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25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25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25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25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25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25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25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25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25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25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25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25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25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25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25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25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25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25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T1" activePane="topRight" state="frozen"/>
      <selection pane="topRight" activeCell="B17" sqref="B17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25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25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25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25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25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25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25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25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25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25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25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25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25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25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25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25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25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25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25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25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4" zoomScale="85" zoomScaleNormal="85" workbookViewId="0">
      <pane xSplit="3" topLeftCell="T1" activePane="topRight" state="frozen"/>
      <selection pane="topRight" activeCell="C37" sqref="C37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25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25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25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25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25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25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25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25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25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25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25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25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25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25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25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25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25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25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25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25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25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25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25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zoomScale="85" zoomScaleNormal="85" workbookViewId="0">
      <pane xSplit="3" topLeftCell="T1" activePane="topRight" state="frozen"/>
      <selection pane="topRight" activeCell="O33" sqref="O33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25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25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25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25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25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25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25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25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25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25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25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25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25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25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25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25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25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25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25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25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zoomScale="85" zoomScaleNormal="85" workbookViewId="0">
      <pane xSplit="3" topLeftCell="T1" activePane="topRight" state="frozen"/>
      <selection pane="topRight" activeCell="B23" sqref="B23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285</v>
      </c>
      <c r="C7" s="4" t="s">
        <v>292</v>
      </c>
      <c r="D7" s="13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25">
      <c r="A8" s="26">
        <v>2</v>
      </c>
      <c r="B8" s="8" t="s">
        <v>249</v>
      </c>
      <c r="C8" s="6" t="s">
        <v>286</v>
      </c>
      <c r="D8" s="7">
        <v>5</v>
      </c>
      <c r="E8" s="7">
        <v>4</v>
      </c>
      <c r="F8" s="7"/>
      <c r="G8" s="7"/>
      <c r="H8" s="7">
        <v>1</v>
      </c>
      <c r="I8" s="7">
        <v>3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14</v>
      </c>
    </row>
    <row r="9" spans="1:35" x14ac:dyDescent="0.25">
      <c r="A9" s="26">
        <v>3</v>
      </c>
      <c r="B9" s="8" t="s">
        <v>249</v>
      </c>
      <c r="C9" s="6" t="s">
        <v>287</v>
      </c>
      <c r="D9" s="7">
        <v>1</v>
      </c>
      <c r="E9" s="7">
        <v>5</v>
      </c>
      <c r="F9" s="7"/>
      <c r="G9" s="7"/>
      <c r="H9" s="7">
        <v>7.5</v>
      </c>
      <c r="I9" s="7"/>
      <c r="J9" s="7"/>
      <c r="K9" s="7">
        <v>1</v>
      </c>
      <c r="L9" s="7">
        <v>4</v>
      </c>
      <c r="M9" s="7"/>
      <c r="N9" s="7"/>
      <c r="O9" s="7"/>
      <c r="P9" s="7">
        <v>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21.5</v>
      </c>
    </row>
    <row r="10" spans="1:35" x14ac:dyDescent="0.25">
      <c r="A10" s="26">
        <v>4</v>
      </c>
      <c r="B10" s="14" t="s">
        <v>214</v>
      </c>
      <c r="C10" s="9" t="s">
        <v>281</v>
      </c>
      <c r="D10" s="7"/>
      <c r="E10" s="7"/>
      <c r="F10" s="7"/>
      <c r="G10" s="7"/>
      <c r="H10" s="7">
        <v>0.5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2.5</v>
      </c>
    </row>
    <row r="11" spans="1:35" x14ac:dyDescent="0.25">
      <c r="A11" s="26">
        <v>5</v>
      </c>
      <c r="B11" s="8" t="s">
        <v>249</v>
      </c>
      <c r="C11" s="9" t="s">
        <v>288</v>
      </c>
      <c r="D11" s="7"/>
      <c r="E11" s="7"/>
      <c r="F11" s="7"/>
      <c r="G11" s="7"/>
      <c r="H11" s="7"/>
      <c r="I11" s="7">
        <v>2</v>
      </c>
      <c r="J11" s="7">
        <v>8</v>
      </c>
      <c r="K11" s="7">
        <v>4</v>
      </c>
      <c r="L11" s="7">
        <v>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17</v>
      </c>
    </row>
    <row r="12" spans="1:35" x14ac:dyDescent="0.25">
      <c r="A12" s="26">
        <v>6</v>
      </c>
      <c r="B12" s="9" t="s">
        <v>289</v>
      </c>
      <c r="C12" s="9" t="s">
        <v>290</v>
      </c>
      <c r="D12" s="7"/>
      <c r="E12" s="7"/>
      <c r="F12" s="7"/>
      <c r="G12" s="7"/>
      <c r="H12" s="7"/>
      <c r="I12" s="7">
        <v>4</v>
      </c>
      <c r="J12" s="7"/>
      <c r="K12" s="7">
        <v>4</v>
      </c>
      <c r="L12" s="7">
        <v>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10</v>
      </c>
    </row>
    <row r="13" spans="1:35" x14ac:dyDescent="0.25">
      <c r="A13" s="26">
        <v>7</v>
      </c>
      <c r="B13" s="8" t="s">
        <v>249</v>
      </c>
      <c r="C13" s="6" t="s">
        <v>291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v>4</v>
      </c>
      <c r="P13" s="7">
        <v>5</v>
      </c>
      <c r="Q13" s="7">
        <v>7</v>
      </c>
      <c r="R13" s="7">
        <v>4</v>
      </c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21</v>
      </c>
    </row>
    <row r="14" spans="1:35" x14ac:dyDescent="0.25">
      <c r="A14" s="26">
        <v>8</v>
      </c>
      <c r="B14" s="8" t="s">
        <v>293</v>
      </c>
      <c r="C14" s="6" t="s">
        <v>294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5</v>
      </c>
    </row>
    <row r="15" spans="1:35" x14ac:dyDescent="0.25">
      <c r="A15" s="26">
        <v>9</v>
      </c>
      <c r="B15" s="8" t="s">
        <v>295</v>
      </c>
      <c r="C15" s="9" t="s">
        <v>296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</v>
      </c>
    </row>
    <row r="16" spans="1:35" x14ac:dyDescent="0.25">
      <c r="A16" s="26">
        <v>10</v>
      </c>
      <c r="B16" s="8" t="s">
        <v>249</v>
      </c>
      <c r="C16" s="9" t="s">
        <v>302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>
        <v>1</v>
      </c>
      <c r="R16" s="7">
        <v>2</v>
      </c>
      <c r="S16" s="7">
        <v>8</v>
      </c>
      <c r="T16" s="7"/>
      <c r="U16" s="7"/>
      <c r="V16" s="7">
        <v>1</v>
      </c>
      <c r="W16" s="7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13</v>
      </c>
    </row>
    <row r="17" spans="1:35" x14ac:dyDescent="0.25">
      <c r="A17" s="26">
        <v>11</v>
      </c>
      <c r="B17" s="8" t="s">
        <v>297</v>
      </c>
      <c r="C17" s="9" t="s">
        <v>298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8" t="s">
        <v>299</v>
      </c>
      <c r="C18" s="9" t="s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>
        <v>1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</v>
      </c>
    </row>
    <row r="19" spans="1:35" x14ac:dyDescent="0.25">
      <c r="A19" s="26">
        <v>13</v>
      </c>
      <c r="B19" s="14" t="s">
        <v>214</v>
      </c>
      <c r="C19" s="9" t="s">
        <v>301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25">
      <c r="A20" s="26">
        <v>14</v>
      </c>
      <c r="B20" s="8" t="s">
        <v>249</v>
      </c>
      <c r="C20" s="9" t="s">
        <v>303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</v>
      </c>
      <c r="W20" s="7">
        <v>8</v>
      </c>
      <c r="X20" s="7">
        <v>1.5</v>
      </c>
      <c r="Y20" s="7">
        <v>3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13.5</v>
      </c>
    </row>
    <row r="21" spans="1:35" x14ac:dyDescent="0.25">
      <c r="A21" s="26">
        <v>15</v>
      </c>
      <c r="B21" s="8" t="s">
        <v>34</v>
      </c>
      <c r="C21" s="9" t="s">
        <v>304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1.5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6">
        <v>16</v>
      </c>
      <c r="B22" s="8" t="s">
        <v>305</v>
      </c>
      <c r="C22" s="8" t="s">
        <v>306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6.5</v>
      </c>
      <c r="Y22" s="7">
        <v>5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11.5</v>
      </c>
    </row>
    <row r="23" spans="1:35" x14ac:dyDescent="0.25">
      <c r="A23" s="26">
        <v>17</v>
      </c>
      <c r="B23" s="8" t="s">
        <v>307</v>
      </c>
      <c r="C23" s="9" t="s">
        <v>310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3</v>
      </c>
      <c r="AA23" s="7"/>
      <c r="AB23" s="7"/>
      <c r="AC23" s="7">
        <v>8</v>
      </c>
      <c r="AD23" s="7"/>
      <c r="AE23" s="7"/>
      <c r="AF23" s="7"/>
      <c r="AG23" s="7"/>
      <c r="AH23" s="7"/>
      <c r="AI23" s="2">
        <f t="shared" si="0"/>
        <v>12</v>
      </c>
    </row>
    <row r="24" spans="1:35" x14ac:dyDescent="0.25">
      <c r="A24" s="26">
        <v>18</v>
      </c>
      <c r="B24" s="8" t="s">
        <v>308</v>
      </c>
      <c r="C24" s="9" t="s">
        <v>309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7</v>
      </c>
      <c r="AA24" s="7"/>
      <c r="AB24" s="7"/>
      <c r="AC24" s="7">
        <v>1</v>
      </c>
      <c r="AD24" s="7"/>
      <c r="AE24" s="7">
        <v>3.3</v>
      </c>
      <c r="AF24" s="7"/>
      <c r="AG24" s="7"/>
      <c r="AH24" s="7"/>
      <c r="AI24" s="2">
        <f t="shared" si="0"/>
        <v>11.3</v>
      </c>
    </row>
    <row r="25" spans="1:35" x14ac:dyDescent="0.25">
      <c r="A25" s="26">
        <v>19</v>
      </c>
      <c r="B25" s="8" t="s">
        <v>311</v>
      </c>
      <c r="C25" s="6" t="s">
        <v>312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8.8000000000000007</v>
      </c>
      <c r="AE25" s="7">
        <v>5.5</v>
      </c>
      <c r="AF25" s="7">
        <v>8.8000000000000007</v>
      </c>
      <c r="AG25" s="7"/>
      <c r="AH25" s="7"/>
      <c r="AI25" s="2">
        <f t="shared" si="0"/>
        <v>23.1</v>
      </c>
    </row>
    <row r="26" spans="1:35" x14ac:dyDescent="0.25">
      <c r="A26" s="26">
        <v>20</v>
      </c>
      <c r="B26" s="8" t="s">
        <v>249</v>
      </c>
      <c r="C26" s="9" t="s">
        <v>313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8.8000000000000007</v>
      </c>
      <c r="AH26" s="7"/>
      <c r="AI26" s="2">
        <f t="shared" si="0"/>
        <v>8.8000000000000007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9.5</v>
      </c>
      <c r="Y107" s="3">
        <f t="shared" si="1"/>
        <v>9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0</v>
      </c>
      <c r="AI107" s="1">
        <f>SUM(D107:AH107)</f>
        <v>198.70000000000005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zoomScale="85" zoomScaleNormal="85" workbookViewId="0">
      <pane xSplit="3" topLeftCell="T1" activePane="topRight" state="frozen"/>
      <selection pane="topRight" activeCell="C32" sqref="C32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249</v>
      </c>
      <c r="C7" s="15" t="s">
        <v>255</v>
      </c>
      <c r="D7" s="13"/>
      <c r="E7" s="5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25">
      <c r="A8" s="26">
        <v>2</v>
      </c>
      <c r="B8" s="8" t="s">
        <v>311</v>
      </c>
      <c r="C8" s="9" t="s">
        <v>333</v>
      </c>
      <c r="D8" s="7"/>
      <c r="E8" s="7">
        <v>3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1.8</v>
      </c>
      <c r="AE8" s="7"/>
      <c r="AF8" s="7"/>
      <c r="AG8" s="7">
        <v>2</v>
      </c>
      <c r="AH8" s="7"/>
      <c r="AI8" s="2">
        <f t="shared" si="0"/>
        <v>8.8000000000000007</v>
      </c>
    </row>
    <row r="9" spans="1:35" x14ac:dyDescent="0.25">
      <c r="A9" s="26">
        <v>3</v>
      </c>
      <c r="B9" s="8" t="s">
        <v>307</v>
      </c>
      <c r="C9" s="9" t="s">
        <v>314</v>
      </c>
      <c r="D9" s="7"/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25">
      <c r="A10" s="26">
        <v>4</v>
      </c>
      <c r="B10" s="8" t="s">
        <v>129</v>
      </c>
      <c r="C10" s="9" t="s">
        <v>315</v>
      </c>
      <c r="D10" s="7"/>
      <c r="E10" s="7"/>
      <c r="F10" s="7">
        <v>2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8" t="s">
        <v>34</v>
      </c>
      <c r="C11" s="6" t="s">
        <v>316</v>
      </c>
      <c r="D11" s="7"/>
      <c r="E11" s="7"/>
      <c r="F11" s="7">
        <v>2.5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2.5</v>
      </c>
    </row>
    <row r="12" spans="1:35" x14ac:dyDescent="0.25">
      <c r="A12" s="26">
        <v>6</v>
      </c>
      <c r="B12" s="8" t="s">
        <v>249</v>
      </c>
      <c r="C12" s="9" t="s">
        <v>317</v>
      </c>
      <c r="D12" s="7"/>
      <c r="E12" s="7"/>
      <c r="F12" s="7">
        <v>2.5</v>
      </c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3.5</v>
      </c>
    </row>
    <row r="13" spans="1:35" x14ac:dyDescent="0.25">
      <c r="A13" s="26">
        <v>7</v>
      </c>
      <c r="B13" s="8" t="s">
        <v>318</v>
      </c>
      <c r="C13" s="9" t="s">
        <v>319</v>
      </c>
      <c r="D13" s="7"/>
      <c r="E13" s="7"/>
      <c r="F13" s="7"/>
      <c r="G13" s="7">
        <v>3.5</v>
      </c>
      <c r="H13" s="7">
        <v>3</v>
      </c>
      <c r="I13" s="7">
        <v>8</v>
      </c>
      <c r="J13" s="7"/>
      <c r="K13" s="7"/>
      <c r="L13" s="7">
        <v>3</v>
      </c>
      <c r="M13" s="7">
        <v>7</v>
      </c>
      <c r="N13" s="7">
        <v>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26.5</v>
      </c>
    </row>
    <row r="14" spans="1:35" x14ac:dyDescent="0.25">
      <c r="A14" s="26">
        <v>8</v>
      </c>
      <c r="B14" s="8" t="s">
        <v>321</v>
      </c>
      <c r="C14" s="9" t="s">
        <v>320</v>
      </c>
      <c r="D14" s="7"/>
      <c r="E14" s="7"/>
      <c r="F14" s="7"/>
      <c r="G14" s="7">
        <v>3.5</v>
      </c>
      <c r="H14" s="7">
        <v>6</v>
      </c>
      <c r="I14" s="7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10.5</v>
      </c>
    </row>
    <row r="15" spans="1:35" x14ac:dyDescent="0.25">
      <c r="A15" s="26">
        <v>9</v>
      </c>
      <c r="B15" s="9" t="s">
        <v>289</v>
      </c>
      <c r="C15" s="9" t="s">
        <v>322</v>
      </c>
      <c r="D15" s="7"/>
      <c r="E15" s="7"/>
      <c r="F15" s="7"/>
      <c r="G15" s="7"/>
      <c r="H15" s="7"/>
      <c r="I15" s="7"/>
      <c r="J15" s="7"/>
      <c r="K15" s="7"/>
      <c r="L15" s="7">
        <v>3</v>
      </c>
      <c r="M15" s="7">
        <v>2</v>
      </c>
      <c r="N15" s="7">
        <v>7</v>
      </c>
      <c r="O15" s="7">
        <v>8.8000000000000007</v>
      </c>
      <c r="P15" s="7">
        <v>8.8000000000000007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1.5</v>
      </c>
      <c r="AE15" s="7"/>
      <c r="AF15" s="7"/>
      <c r="AG15" s="7"/>
      <c r="AH15" s="7"/>
      <c r="AI15" s="2">
        <f t="shared" si="0"/>
        <v>31.1</v>
      </c>
    </row>
    <row r="16" spans="1:35" x14ac:dyDescent="0.25">
      <c r="A16" s="26">
        <v>10</v>
      </c>
      <c r="B16" s="9" t="s">
        <v>307</v>
      </c>
      <c r="C16" s="8" t="s">
        <v>310</v>
      </c>
      <c r="D16" s="7"/>
      <c r="E16" s="7"/>
      <c r="F16" s="7"/>
      <c r="G16" s="7"/>
      <c r="H16" s="7"/>
      <c r="I16" s="7"/>
      <c r="J16" s="7"/>
      <c r="K16" s="7"/>
      <c r="L16" s="7">
        <v>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>
        <v>2</v>
      </c>
      <c r="AH16" s="7"/>
      <c r="AI16" s="2">
        <f t="shared" si="0"/>
        <v>5</v>
      </c>
    </row>
    <row r="17" spans="1:35" x14ac:dyDescent="0.25">
      <c r="A17" s="26">
        <v>11</v>
      </c>
      <c r="B17" s="9" t="s">
        <v>323</v>
      </c>
      <c r="C17" s="9" t="s">
        <v>324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4</v>
      </c>
      <c r="U17" s="7">
        <v>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6</v>
      </c>
    </row>
    <row r="18" spans="1:35" x14ac:dyDescent="0.25">
      <c r="A18" s="26">
        <v>12</v>
      </c>
      <c r="B18" s="9" t="s">
        <v>289</v>
      </c>
      <c r="C18" s="9" t="s">
        <v>325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8.8000000000000007</v>
      </c>
      <c r="T18" s="7"/>
      <c r="U18" s="7">
        <v>3</v>
      </c>
      <c r="V18" s="7">
        <v>2.8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14.600000000000001</v>
      </c>
    </row>
    <row r="19" spans="1:35" x14ac:dyDescent="0.25">
      <c r="A19" s="26">
        <v>13</v>
      </c>
      <c r="B19" s="8" t="s">
        <v>129</v>
      </c>
      <c r="C19" s="9" t="s">
        <v>290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4.8</v>
      </c>
      <c r="U19" s="7">
        <v>3.8</v>
      </c>
      <c r="V19" s="7">
        <v>3</v>
      </c>
      <c r="W19" s="7">
        <v>4</v>
      </c>
      <c r="X19" s="7"/>
      <c r="Y19" s="7"/>
      <c r="Z19" s="7"/>
      <c r="AA19" s="7"/>
      <c r="AB19" s="7"/>
      <c r="AC19" s="7"/>
      <c r="AD19" s="7">
        <v>0.5</v>
      </c>
      <c r="AE19" s="7"/>
      <c r="AF19" s="7"/>
      <c r="AG19" s="7"/>
      <c r="AH19" s="7"/>
      <c r="AI19" s="2">
        <f t="shared" si="0"/>
        <v>16.100000000000001</v>
      </c>
    </row>
    <row r="20" spans="1:35" x14ac:dyDescent="0.25">
      <c r="A20" s="26">
        <v>14</v>
      </c>
      <c r="B20" s="8" t="s">
        <v>46</v>
      </c>
      <c r="C20" s="9" t="s">
        <v>332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3</v>
      </c>
      <c r="W20" s="7">
        <v>4.8</v>
      </c>
      <c r="X20" s="7"/>
      <c r="Y20" s="7"/>
      <c r="Z20" s="7">
        <v>8</v>
      </c>
      <c r="AA20" s="7">
        <v>8.8000000000000007</v>
      </c>
      <c r="AB20" s="7">
        <v>1.8</v>
      </c>
      <c r="AC20" s="7">
        <v>0.8</v>
      </c>
      <c r="AD20" s="7"/>
      <c r="AE20" s="7"/>
      <c r="AF20" s="7"/>
      <c r="AG20" s="7"/>
      <c r="AH20" s="7"/>
      <c r="AI20" s="2">
        <f t="shared" si="0"/>
        <v>27.200000000000003</v>
      </c>
    </row>
    <row r="21" spans="1:35" x14ac:dyDescent="0.25">
      <c r="A21" s="26">
        <v>15</v>
      </c>
      <c r="B21" s="9" t="s">
        <v>326</v>
      </c>
      <c r="C21" s="9" t="s">
        <v>327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0.8</v>
      </c>
      <c r="AA21" s="7"/>
      <c r="AB21" s="7"/>
      <c r="AC21" s="7"/>
      <c r="AD21" s="7"/>
      <c r="AE21" s="7"/>
      <c r="AF21" s="7"/>
      <c r="AG21" s="7"/>
      <c r="AH21" s="7"/>
      <c r="AI21" s="2">
        <f t="shared" si="0"/>
        <v>0.8</v>
      </c>
    </row>
    <row r="22" spans="1:35" x14ac:dyDescent="0.25">
      <c r="A22" s="26">
        <v>16</v>
      </c>
      <c r="B22" s="8" t="s">
        <v>328</v>
      </c>
      <c r="C22" s="8" t="s">
        <v>329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6</v>
      </c>
      <c r="AC22" s="7">
        <v>8</v>
      </c>
      <c r="AD22" s="7">
        <v>5</v>
      </c>
      <c r="AE22" s="7"/>
      <c r="AF22" s="7"/>
      <c r="AG22" s="7">
        <v>1.8</v>
      </c>
      <c r="AH22" s="7"/>
      <c r="AI22" s="2">
        <f t="shared" si="0"/>
        <v>20.8</v>
      </c>
    </row>
    <row r="23" spans="1:35" x14ac:dyDescent="0.25">
      <c r="A23" s="26">
        <v>17</v>
      </c>
      <c r="B23" s="8" t="s">
        <v>330</v>
      </c>
      <c r="C23" s="8" t="s">
        <v>331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1</v>
      </c>
    </row>
    <row r="24" spans="1:35" x14ac:dyDescent="0.25">
      <c r="A24" s="26">
        <v>18</v>
      </c>
      <c r="B24" s="8" t="s">
        <v>334</v>
      </c>
      <c r="C24" s="9" t="s">
        <v>335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>
        <v>3</v>
      </c>
      <c r="AH24" s="7"/>
      <c r="AI24" s="2">
        <f t="shared" si="0"/>
        <v>3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0</v>
      </c>
      <c r="R107" s="3">
        <f t="shared" si="1"/>
        <v>0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8.8000000000000007</v>
      </c>
      <c r="X107" s="3">
        <f t="shared" si="1"/>
        <v>0</v>
      </c>
      <c r="Y107" s="3">
        <f t="shared" si="1"/>
        <v>0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0</v>
      </c>
      <c r="AF107" s="3">
        <f t="shared" si="1"/>
        <v>0</v>
      </c>
      <c r="AG107" s="3">
        <f t="shared" si="1"/>
        <v>8.8000000000000007</v>
      </c>
      <c r="AH107" s="3">
        <f t="shared" si="1"/>
        <v>0</v>
      </c>
      <c r="AI107" s="1">
        <f>SUM(D107:AH107)</f>
        <v>186.40000000000006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zoomScale="85" zoomScaleNormal="85" workbookViewId="0">
      <pane xSplit="3" topLeftCell="T1" activePane="topRight" state="frozen"/>
      <selection pane="topRight" activeCell="B19" sqref="B19:C19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289</v>
      </c>
      <c r="C7" s="4" t="s">
        <v>322</v>
      </c>
      <c r="D7" s="13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9" t="s">
        <v>289</v>
      </c>
      <c r="C8" s="6" t="s">
        <v>336</v>
      </c>
      <c r="D8" s="7">
        <v>4.8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3</v>
      </c>
      <c r="T8" s="7"/>
      <c r="U8" s="7"/>
      <c r="V8" s="7"/>
      <c r="W8" s="7"/>
      <c r="X8" s="7">
        <v>1</v>
      </c>
      <c r="Y8" s="7"/>
      <c r="Z8" s="7"/>
      <c r="AA8" s="7"/>
      <c r="AB8" s="7"/>
      <c r="AC8" s="7"/>
      <c r="AD8" s="7"/>
      <c r="AE8" s="7"/>
      <c r="AF8" s="7">
        <v>1</v>
      </c>
      <c r="AG8" s="7"/>
      <c r="AH8" s="7"/>
      <c r="AI8" s="2">
        <f t="shared" si="0"/>
        <v>9.8000000000000007</v>
      </c>
    </row>
    <row r="9" spans="1:35" x14ac:dyDescent="0.25">
      <c r="A9" s="26">
        <v>3</v>
      </c>
      <c r="B9" s="8" t="s">
        <v>311</v>
      </c>
      <c r="C9" s="6" t="s">
        <v>337</v>
      </c>
      <c r="D9" s="7">
        <v>3</v>
      </c>
      <c r="E9" s="7"/>
      <c r="F9" s="7">
        <v>4</v>
      </c>
      <c r="G9" s="7">
        <v>2</v>
      </c>
      <c r="H9" s="7"/>
      <c r="I9" s="7"/>
      <c r="J9" s="7">
        <v>0.5</v>
      </c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9.5</v>
      </c>
    </row>
    <row r="10" spans="1:35" x14ac:dyDescent="0.25">
      <c r="A10" s="26">
        <v>4</v>
      </c>
      <c r="B10" s="8" t="s">
        <v>318</v>
      </c>
      <c r="C10" s="6" t="s">
        <v>319</v>
      </c>
      <c r="D10" s="7"/>
      <c r="E10" s="7">
        <v>8.8000000000000007</v>
      </c>
      <c r="F10" s="7">
        <v>4.8</v>
      </c>
      <c r="G10" s="7">
        <v>6.8</v>
      </c>
      <c r="H10" s="7"/>
      <c r="I10" s="7"/>
      <c r="J10" s="7">
        <v>6.8</v>
      </c>
      <c r="K10" s="7">
        <v>4.8</v>
      </c>
      <c r="L10" s="7"/>
      <c r="M10" s="7"/>
      <c r="N10" s="7">
        <v>8.8000000000000007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1</v>
      </c>
      <c r="AC10" s="7"/>
      <c r="AD10" s="7"/>
      <c r="AE10" s="7">
        <v>7.8</v>
      </c>
      <c r="AF10" s="7"/>
      <c r="AG10" s="7">
        <v>1.8</v>
      </c>
      <c r="AH10" s="7"/>
      <c r="AI10" s="2">
        <f t="shared" si="0"/>
        <v>51.399999999999991</v>
      </c>
    </row>
    <row r="11" spans="1:35" x14ac:dyDescent="0.25">
      <c r="A11" s="26">
        <v>5</v>
      </c>
      <c r="B11" s="8" t="s">
        <v>46</v>
      </c>
      <c r="C11" s="9" t="s">
        <v>338</v>
      </c>
      <c r="D11" s="7"/>
      <c r="E11" s="7"/>
      <c r="F11" s="7"/>
      <c r="G11" s="7"/>
      <c r="H11" s="7"/>
      <c r="I11" s="7"/>
      <c r="J11" s="7">
        <v>1.5</v>
      </c>
      <c r="K11" s="7"/>
      <c r="L11" s="7"/>
      <c r="M11" s="7">
        <v>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5.5</v>
      </c>
    </row>
    <row r="12" spans="1:35" x14ac:dyDescent="0.25">
      <c r="A12" s="26">
        <v>6</v>
      </c>
      <c r="B12" s="8" t="s">
        <v>339</v>
      </c>
      <c r="C12" s="9" t="s">
        <v>340</v>
      </c>
      <c r="D12" s="7"/>
      <c r="E12" s="7"/>
      <c r="F12" s="7"/>
      <c r="G12" s="7"/>
      <c r="H12" s="7"/>
      <c r="I12" s="7"/>
      <c r="J12" s="7"/>
      <c r="K12" s="7">
        <v>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6">
        <v>7</v>
      </c>
      <c r="B13" s="8" t="s">
        <v>341</v>
      </c>
      <c r="C13" s="6" t="s">
        <v>342</v>
      </c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</v>
      </c>
    </row>
    <row r="14" spans="1:35" x14ac:dyDescent="0.25">
      <c r="A14" s="26">
        <v>8</v>
      </c>
      <c r="B14" s="8" t="s">
        <v>343</v>
      </c>
      <c r="C14" s="6" t="s">
        <v>344</v>
      </c>
      <c r="D14" s="7"/>
      <c r="E14" s="7"/>
      <c r="F14" s="7"/>
      <c r="G14" s="7"/>
      <c r="H14" s="7"/>
      <c r="I14" s="7"/>
      <c r="J14" s="7"/>
      <c r="K14" s="7">
        <v>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6">
        <v>9</v>
      </c>
      <c r="B15" s="8" t="s">
        <v>46</v>
      </c>
      <c r="C15" s="9" t="s">
        <v>345</v>
      </c>
      <c r="D15" s="7"/>
      <c r="E15" s="7"/>
      <c r="F15" s="7"/>
      <c r="G15" s="7"/>
      <c r="H15" s="7"/>
      <c r="I15" s="7"/>
      <c r="J15" s="7"/>
      <c r="K15" s="7"/>
      <c r="L15" s="7">
        <v>8.8000000000000007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8.8000000000000007</v>
      </c>
    </row>
    <row r="16" spans="1:35" x14ac:dyDescent="0.25">
      <c r="A16" s="26">
        <v>10</v>
      </c>
      <c r="B16" s="8" t="s">
        <v>46</v>
      </c>
      <c r="C16" s="9" t="s">
        <v>346</v>
      </c>
      <c r="D16" s="7"/>
      <c r="E16" s="7"/>
      <c r="F16" s="7"/>
      <c r="G16" s="7"/>
      <c r="H16" s="7"/>
      <c r="I16" s="7"/>
      <c r="J16" s="7"/>
      <c r="K16" s="7"/>
      <c r="L16" s="7"/>
      <c r="M16" s="7">
        <v>4.8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4.8</v>
      </c>
    </row>
    <row r="17" spans="1:35" x14ac:dyDescent="0.25">
      <c r="A17" s="26">
        <v>11</v>
      </c>
      <c r="B17" s="8" t="s">
        <v>349</v>
      </c>
      <c r="C17" s="9" t="s">
        <v>350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>
        <v>7.8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7.8</v>
      </c>
    </row>
    <row r="18" spans="1:35" x14ac:dyDescent="0.25">
      <c r="A18" s="26">
        <v>12</v>
      </c>
      <c r="B18" s="9" t="s">
        <v>308</v>
      </c>
      <c r="C18" s="9" t="s">
        <v>351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347</v>
      </c>
      <c r="C19" s="9" t="s">
        <v>348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5.8</v>
      </c>
      <c r="S19" s="7">
        <v>5.8</v>
      </c>
      <c r="T19" s="7">
        <v>8.8000000000000007</v>
      </c>
      <c r="U19" s="7">
        <v>5.8</v>
      </c>
      <c r="V19" s="7"/>
      <c r="W19" s="7"/>
      <c r="X19" s="7">
        <v>7.8</v>
      </c>
      <c r="Y19" s="7">
        <v>9</v>
      </c>
      <c r="Z19" s="7">
        <v>8.8000000000000007</v>
      </c>
      <c r="AA19" s="7">
        <v>8.8000000000000007</v>
      </c>
      <c r="AB19" s="7">
        <v>7.8</v>
      </c>
      <c r="AC19" s="7"/>
      <c r="AD19" s="7"/>
      <c r="AE19" s="7">
        <v>1</v>
      </c>
      <c r="AF19" s="7"/>
      <c r="AG19" s="7"/>
      <c r="AH19" s="7"/>
      <c r="AI19" s="2">
        <f t="shared" si="0"/>
        <v>69.399999999999991</v>
      </c>
    </row>
    <row r="20" spans="1:35" x14ac:dyDescent="0.25">
      <c r="A20" s="26">
        <v>14</v>
      </c>
      <c r="B20" s="8" t="s">
        <v>285</v>
      </c>
      <c r="C20" s="9" t="s">
        <v>352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3</v>
      </c>
    </row>
    <row r="21" spans="1:35" x14ac:dyDescent="0.25">
      <c r="A21" s="26">
        <v>15</v>
      </c>
      <c r="B21" s="8" t="s">
        <v>353</v>
      </c>
      <c r="C21" s="9" t="s">
        <v>354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>
        <v>7.8</v>
      </c>
      <c r="AG21" s="7">
        <v>7</v>
      </c>
      <c r="AH21" s="7"/>
      <c r="AI21" s="2">
        <f t="shared" si="0"/>
        <v>14.8</v>
      </c>
    </row>
    <row r="22" spans="1:35" x14ac:dyDescent="0.25">
      <c r="A22" s="26">
        <v>16</v>
      </c>
      <c r="B22" s="8" t="s">
        <v>330</v>
      </c>
      <c r="C22" s="9" t="s">
        <v>358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>
        <v>3</v>
      </c>
      <c r="AI22" s="2">
        <f t="shared" si="0"/>
        <v>3</v>
      </c>
    </row>
    <row r="23" spans="1:35" x14ac:dyDescent="0.25">
      <c r="A23" s="26">
        <v>17</v>
      </c>
      <c r="B23" s="8" t="s">
        <v>356</v>
      </c>
      <c r="C23" s="9" t="s">
        <v>357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>
        <v>5.8</v>
      </c>
      <c r="AI23" s="2">
        <f t="shared" si="0"/>
        <v>5.8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8.8000000000000007</v>
      </c>
      <c r="F107" s="12">
        <f t="shared" si="1"/>
        <v>8.8000000000000007</v>
      </c>
      <c r="G107" s="3">
        <f t="shared" si="1"/>
        <v>8.8000000000000007</v>
      </c>
      <c r="H107" s="3">
        <f t="shared" si="1"/>
        <v>0</v>
      </c>
      <c r="I107" s="3">
        <f t="shared" si="1"/>
        <v>0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8.8000000000000007</v>
      </c>
      <c r="N107" s="3">
        <f t="shared" si="1"/>
        <v>8.8000000000000007</v>
      </c>
      <c r="O107" s="3">
        <f t="shared" si="1"/>
        <v>0</v>
      </c>
      <c r="P107" s="3">
        <f t="shared" si="1"/>
        <v>0</v>
      </c>
      <c r="Q107" s="3">
        <f t="shared" si="1"/>
        <v>8.8000000000000007</v>
      </c>
      <c r="R107" s="3">
        <f t="shared" si="1"/>
        <v>8.8000000000000007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0</v>
      </c>
      <c r="W107" s="3">
        <f t="shared" si="1"/>
        <v>0</v>
      </c>
      <c r="X107" s="3">
        <f t="shared" si="1"/>
        <v>8.8000000000000007</v>
      </c>
      <c r="Y107" s="3">
        <f t="shared" si="1"/>
        <v>9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0</v>
      </c>
      <c r="AD107" s="3">
        <f t="shared" si="1"/>
        <v>0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8.8000000000000007</v>
      </c>
      <c r="AI107" s="1">
        <f>SUM(D107:AH107)</f>
        <v>202.60000000000005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tabSelected="1" zoomScale="85" zoomScaleNormal="85" workbookViewId="0">
      <pane xSplit="3" topLeftCell="O1" activePane="topRight" state="frozen"/>
      <selection pane="topRight" activeCell="S19" sqref="S19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34</v>
      </c>
      <c r="C7" s="47" t="s">
        <v>355</v>
      </c>
      <c r="D7" s="13"/>
      <c r="E7" s="5"/>
      <c r="F7" s="5"/>
      <c r="G7" s="5"/>
      <c r="H7" s="5"/>
      <c r="I7" s="5">
        <v>8.8000000000000007</v>
      </c>
      <c r="J7" s="5">
        <v>8.8000000000000007</v>
      </c>
      <c r="K7" s="5">
        <v>8.8000000000000007</v>
      </c>
      <c r="L7" s="5"/>
      <c r="M7" s="5"/>
      <c r="N7" s="5">
        <v>8.8000000000000007</v>
      </c>
      <c r="O7" s="5">
        <v>8.8000000000000007</v>
      </c>
      <c r="P7" s="5">
        <v>8.8000000000000007</v>
      </c>
      <c r="Q7" s="5">
        <v>8.8000000000000007</v>
      </c>
      <c r="R7" s="5"/>
      <c r="S7" s="5"/>
      <c r="T7" s="5"/>
      <c r="U7" s="5">
        <v>8.8000000000000007</v>
      </c>
      <c r="V7" s="5">
        <v>8.8000000000000007</v>
      </c>
      <c r="W7" s="5"/>
      <c r="X7" s="5">
        <v>8.8000000000000007</v>
      </c>
      <c r="Y7" s="5">
        <v>8.8000000000000007</v>
      </c>
      <c r="Z7" s="5"/>
      <c r="AA7" s="5"/>
      <c r="AB7" s="5"/>
      <c r="AC7" s="5"/>
      <c r="AD7" s="5"/>
      <c r="AE7" s="5"/>
      <c r="AF7" s="5">
        <v>1</v>
      </c>
      <c r="AG7" s="5"/>
      <c r="AH7" s="5"/>
      <c r="AI7" s="2">
        <f t="shared" ref="AI7:AI106" si="0">SUM(D7:AH7)</f>
        <v>97.799999999999983</v>
      </c>
    </row>
    <row r="8" spans="1:35" x14ac:dyDescent="0.25">
      <c r="A8" s="26">
        <v>2</v>
      </c>
      <c r="B8" s="8" t="s">
        <v>353</v>
      </c>
      <c r="C8" s="9" t="s">
        <v>359</v>
      </c>
      <c r="D8" s="7">
        <v>8.8000000000000007</v>
      </c>
      <c r="E8" s="7"/>
      <c r="F8" s="7"/>
      <c r="G8" s="7">
        <v>8.8000000000000007</v>
      </c>
      <c r="H8" s="7">
        <v>5.8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>
        <v>3</v>
      </c>
      <c r="AD8" s="7"/>
      <c r="AE8" s="7"/>
      <c r="AF8" s="7"/>
      <c r="AG8" s="7"/>
      <c r="AH8" s="7"/>
      <c r="AI8" s="2">
        <f t="shared" si="0"/>
        <v>26.400000000000002</v>
      </c>
    </row>
    <row r="9" spans="1:35" x14ac:dyDescent="0.25">
      <c r="A9" s="26">
        <v>3</v>
      </c>
      <c r="B9" s="8" t="s">
        <v>318</v>
      </c>
      <c r="C9" s="6" t="s">
        <v>319</v>
      </c>
      <c r="D9" s="7"/>
      <c r="E9" s="7"/>
      <c r="F9" s="7"/>
      <c r="G9" s="7"/>
      <c r="H9" s="7">
        <v>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25">
      <c r="A10" s="26">
        <v>4</v>
      </c>
      <c r="B10" s="8" t="s">
        <v>347</v>
      </c>
      <c r="C10" s="9" t="s">
        <v>348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8.8000000000000007</v>
      </c>
      <c r="AC10" s="7"/>
      <c r="AD10" s="7"/>
      <c r="AE10" s="7"/>
      <c r="AF10" s="7"/>
      <c r="AG10" s="7"/>
      <c r="AH10" s="7"/>
      <c r="AI10" s="2">
        <f t="shared" si="0"/>
        <v>8.8000000000000007</v>
      </c>
    </row>
    <row r="11" spans="1:35" x14ac:dyDescent="0.25">
      <c r="A11" s="26">
        <v>5</v>
      </c>
      <c r="B11" s="8" t="s">
        <v>360</v>
      </c>
      <c r="C11" s="9" t="s">
        <v>361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5.8</v>
      </c>
      <c r="AD11" s="7">
        <v>7.8</v>
      </c>
      <c r="AE11" s="7">
        <v>8.8000000000000007</v>
      </c>
      <c r="AF11" s="7">
        <v>7.8</v>
      </c>
      <c r="AG11" s="7"/>
      <c r="AH11" s="7"/>
      <c r="AI11" s="2">
        <f t="shared" si="0"/>
        <v>30.2</v>
      </c>
    </row>
    <row r="12" spans="1:35" x14ac:dyDescent="0.25">
      <c r="A12" s="26">
        <v>6</v>
      </c>
      <c r="B12" s="8" t="s">
        <v>360</v>
      </c>
      <c r="C12" s="9" t="s">
        <v>362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>
        <v>1</v>
      </c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8.8000000000000007</v>
      </c>
      <c r="E107" s="12">
        <f t="shared" si="1"/>
        <v>0</v>
      </c>
      <c r="F107" s="12">
        <f t="shared" si="1"/>
        <v>0</v>
      </c>
      <c r="G107" s="3">
        <f t="shared" si="1"/>
        <v>8.8000000000000007</v>
      </c>
      <c r="H107" s="3">
        <f t="shared" si="1"/>
        <v>8.8000000000000007</v>
      </c>
      <c r="I107" s="3">
        <f t="shared" si="1"/>
        <v>8.8000000000000007</v>
      </c>
      <c r="J107" s="3">
        <f t="shared" si="1"/>
        <v>8.8000000000000007</v>
      </c>
      <c r="K107" s="3">
        <f t="shared" si="1"/>
        <v>8.8000000000000007</v>
      </c>
      <c r="L107" s="3">
        <f t="shared" si="1"/>
        <v>0</v>
      </c>
      <c r="M107" s="3">
        <f t="shared" si="1"/>
        <v>0</v>
      </c>
      <c r="N107" s="3">
        <f t="shared" si="1"/>
        <v>8.8000000000000007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8.8000000000000007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0</v>
      </c>
      <c r="X107" s="3">
        <f t="shared" si="1"/>
        <v>8.8000000000000007</v>
      </c>
      <c r="Y107" s="3">
        <f t="shared" si="1"/>
        <v>8.8000000000000007</v>
      </c>
      <c r="Z107" s="3">
        <f t="shared" si="1"/>
        <v>0</v>
      </c>
      <c r="AA107" s="3">
        <f t="shared" si="1"/>
        <v>0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0</v>
      </c>
      <c r="AH107" s="3">
        <f t="shared" si="1"/>
        <v>0</v>
      </c>
      <c r="AI107" s="1">
        <f>SUM(D107:AH107)</f>
        <v>167.20000000000002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8515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28515625" style="16" customWidth="1"/>
    <col min="35" max="35" width="9.28515625" customWidth="1"/>
    <col min="36" max="36" width="11" style="16" bestFit="1" customWidth="1"/>
    <col min="37" max="16384" width="9.28515625" style="16"/>
  </cols>
  <sheetData>
    <row r="1" spans="1:35" customFormat="1" ht="18" customHeight="1" x14ac:dyDescent="0.2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2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2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5" thickBot="1" x14ac:dyDescent="0.3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Renan Soares</cp:lastModifiedBy>
  <cp:lastPrinted>2019-09-02T12:03:42Z</cp:lastPrinted>
  <dcterms:created xsi:type="dcterms:W3CDTF">2018-05-03T18:37:11Z</dcterms:created>
  <dcterms:modified xsi:type="dcterms:W3CDTF">2024-12-02T15:15:29Z</dcterms:modified>
</cp:coreProperties>
</file>