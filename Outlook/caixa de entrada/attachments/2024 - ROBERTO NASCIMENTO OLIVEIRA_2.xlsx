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defaultThemeVersion="124226"/>
  <workbookProtection workbookPassword="CF6C" lockStructure="1"/>
  <bookViews>
    <workbookView xWindow="-120" yWindow="-120" windowWidth="29040" windowHeight="15720" tabRatio="798" activeTab="1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2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<sst xmlns="http://schemas.openxmlformats.org/spreadsheetml/2006/main" count="264" uniqueCount="123">
  <si>
    <t>Dias</t>
  </si>
  <si>
    <t>Item</t>
  </si>
  <si>
    <t>Descrição</t>
  </si>
  <si>
    <t>Atividade</t>
  </si>
  <si>
    <t>Total</t>
  </si>
  <si>
    <t>SE ITABAIANA 230kV 04D1 FUNCIONAL</t>
  </si>
  <si>
    <t>SE ITABAIANA 230kV 04D1 FIAÇÃO</t>
  </si>
  <si>
    <t>SE ITABAIANA 230kV 04C2 FUNCIONAL</t>
  </si>
  <si>
    <t>SE ITABAIANA 230kV 04C2 FIAÇÃO</t>
  </si>
  <si>
    <t>SE ITABAIANA 230kV 04C2 INTERLIGAÇÃO</t>
  </si>
  <si>
    <t>SE ITABAIANA 230kV 04T1 INTERLIGAÇÃO</t>
  </si>
  <si>
    <t>SE GOIAMINHA NÍVEL2 ARQUITETURA GERAL</t>
  </si>
  <si>
    <t>SE ITABAIANA 230kV 04C1 FUNCIONAL</t>
  </si>
  <si>
    <t>Siemens-PG 2900-ITB-Executivo-Elétrico-Setor 230kV--</t>
  </si>
  <si>
    <t>SE ITABAIANA BASTIDOR DE REDE PAINEL 4BR1</t>
  </si>
  <si>
    <t>SE ITABAIANA 230kV 04C1 INTERLIGAÇÃO</t>
  </si>
  <si>
    <t>SE ITABAIANA 230kV 04C1 FIAÇÃO</t>
  </si>
  <si>
    <t>Siemens-PG 4121-GNN-Executivo-Elétrico-Conforme Construído--</t>
  </si>
  <si>
    <t>SE ITABAIANA 230kV 04C3 INTERLIGAÇÃO</t>
  </si>
  <si>
    <t>SE ITABAIANA 230kV 04C3 FUNCIONAL</t>
  </si>
  <si>
    <t>SE GOIAMINHA 230kV 04T3 FIAÇÃO</t>
  </si>
  <si>
    <t>Siemens-PG 3881-PRI-Executivo-Elétrico-Conforme Construído--</t>
  </si>
  <si>
    <t>SE PIRIPIRI 69kV 02J3 FIAÇÃO</t>
  </si>
  <si>
    <t>SE PIRIPIRI 69kV 02T2 INTERLIGAÇÃO</t>
  </si>
  <si>
    <t>SE PIRIPIRI 69kV 02J3 INTERLIGAÇÃO</t>
  </si>
  <si>
    <t>SE ITABAIANA 230kV QRA's</t>
  </si>
  <si>
    <t>SE ITABAIANA 230kV 04T1 FUNCIONAL</t>
  </si>
  <si>
    <t>SE GOIAMINHA 230kV UC PAINEL 4UA16-2</t>
  </si>
  <si>
    <t>SE GOIAMINHA 230kV UC PAINEL 4UA16-1</t>
  </si>
  <si>
    <t>Siemens-PG 4121-RCD-Executivo-Elétrico-Conforme Construído--</t>
  </si>
  <si>
    <t>SE RECIFEII 500kV VÃO C INTERLIGAÇÃO</t>
  </si>
  <si>
    <t>SE RECIFEII 500kV VÃO C FUNCIONAL</t>
  </si>
  <si>
    <t>SE RECIFE II 500kV VÃO C FIAÇÃO</t>
  </si>
  <si>
    <t>SE ITABAIANA 230kV 04T1 FIAÇÃO</t>
  </si>
  <si>
    <t>Interest-Interest-Administrativo-Administrativo------</t>
  </si>
  <si>
    <t>SE ITABAIANA 230kV 04C3 FIAÇÃO</t>
  </si>
  <si>
    <t>SE ITABAIANA 230kV 04S7 INTERLIGAÇÃO</t>
  </si>
  <si>
    <t>SE ITABAIANA 230kV 04S7 FUNCIONAL</t>
  </si>
  <si>
    <t>PRÉ TEILÃO CRATEÚS</t>
  </si>
  <si>
    <t>PRÉ LEILÃO TERESINA IV</t>
  </si>
  <si>
    <t>SE GOIANINHA 230kV UNIDADE DE CONTROLE</t>
  </si>
  <si>
    <t>Siemens-PG 3881-PRI-Executivo-Eletromec.-Conforme Construído--</t>
  </si>
  <si>
    <t>SE PIRIPIRI 230kV 02J3 FIAÇÃO</t>
  </si>
  <si>
    <t>SE PIRIPIRI 230kV 02J3 FUNCIONAL</t>
  </si>
  <si>
    <t>SE ITABAIANA 230kV 04T3 FUNCIONAL</t>
  </si>
  <si>
    <t>PRÉ LEILÃO SÃO JOÃO DO PARAÍSO</t>
  </si>
  <si>
    <t>Hersa-Eunapolis BC_REA-SE Eunápolis-Executivo-Elétrico-Diagrama de Interligação--</t>
  </si>
  <si>
    <t>SE EUNÁPOLIS 230kV VÃO J INTERLIGAÇÃO</t>
  </si>
  <si>
    <t>SE ITABAIANA 230kV 04D1 INTERLIGAÇÃO</t>
  </si>
  <si>
    <t>SE ITABAIANA 230kV 04T3 INTERLIGAÇÃO</t>
  </si>
  <si>
    <t>PRÉ LEILÃO  SE PIRIPIRI</t>
  </si>
  <si>
    <t>SE GONHANINHA 230kV 04F4 CONFORME</t>
  </si>
  <si>
    <t>SE GONHANINHA 230kV 04F2 CONFORME</t>
  </si>
  <si>
    <t>Siemens-PG 4121-GNN-Executivo-Elétrico-Setor 230kV--</t>
  </si>
  <si>
    <t>SE GONHANINHA 230kV 04C7 INTERLIGAÇÃO</t>
  </si>
  <si>
    <t>Hersa-Poções II e Igaporã II-SE Porções II-Executivo-Elétrica-Diagrama Unifilar de Proteção e Controle--</t>
  </si>
  <si>
    <t>SE PORÇÕES II UNIFILAR</t>
  </si>
  <si>
    <t>SE GONHANINHA 69kV 02D1 CONFORME</t>
  </si>
  <si>
    <t>SE EUNAPOLIS 138kV VÃO H INTERLIGAÇÃO</t>
  </si>
  <si>
    <t>SE EUNAPOLIS 138kV VÃO F INTERLIGAÇÃO</t>
  </si>
  <si>
    <t>Siemens-PG 3881-PRI-Executivo-Elétrico-Setor 69kV--</t>
  </si>
  <si>
    <t>SE PIRIPIRI 69kV 02J3 FUNCIONAL</t>
  </si>
  <si>
    <t>Siemens-PG 2900-ITB-Executivo-Elétrico-Setor 69kV--</t>
  </si>
  <si>
    <t>SE ITABAIANA 69kV 02J6 FUNCIONAL</t>
  </si>
  <si>
    <t>SE ITABAIANA 69kV 02T2 FUNCIONAL</t>
  </si>
  <si>
    <t>SE EUNAPOLIS 230kV 04N6 INTERLIGAÇÃO</t>
  </si>
  <si>
    <t>SE EUNAPOLIS 230kV 04T1 INTERLIGAÇÃO</t>
  </si>
  <si>
    <t>SE ITABAIANA 69kV 02J6 INTERLIGAÇÃO</t>
  </si>
  <si>
    <t>SE ITABAIANA 69kV 02J8 FIAÇÃO</t>
  </si>
  <si>
    <t>SE ITABAIANA 69kV 02J8 FUNCIONAL</t>
  </si>
  <si>
    <t>SE ITABAIANA 230kV 04T2 FIAÇÃO</t>
  </si>
  <si>
    <t xml:space="preserve">PRÉ LEILÃO SÃO JOÃO DO PIAUÍ </t>
  </si>
  <si>
    <t>SE ITABAIANA 230kV 04T2 INTERLIGAÇÃO</t>
  </si>
  <si>
    <t>SE EUNÁPOLIS 138kV INTERLIGAÇÃO</t>
  </si>
  <si>
    <t>PRÉ LEILÃO SE PACATUBA</t>
  </si>
  <si>
    <t>PRÉ LEILÃO SE JUSSIAPE</t>
  </si>
  <si>
    <t>PRÉ LEILÃO SE QUIXADÁ</t>
  </si>
  <si>
    <t>PRÉ LEILÃO SE MORADA NOVA</t>
  </si>
  <si>
    <t>PRÉ LEILÃO SE BOM NOME</t>
  </si>
  <si>
    <t>PRÉ LEILÃO SE OLINDINA</t>
  </si>
  <si>
    <t>PRÉ LEILÃO SE ZEBU</t>
  </si>
  <si>
    <t>PRÉ LEILÃO SE IBIAPINA</t>
  </si>
  <si>
    <t>PRÉ LEILÃO SE PILÕES</t>
  </si>
  <si>
    <t>PRÉ LEILÃO SE MILAGRES</t>
  </si>
  <si>
    <t>PRÉ LEILÃO SE MESSIAS</t>
  </si>
  <si>
    <t>PRÉ LEILÃO SE GARANHUNS</t>
  </si>
  <si>
    <t>PRÉ LEILÃO SE CRATO</t>
  </si>
  <si>
    <t>Siemens-PG 3881-MSD-Executivo-Elétrico-Setor 230kV--</t>
  </si>
  <si>
    <t>SE MOSSORÓ II 230kV 04T1 FUNCIONAL</t>
  </si>
  <si>
    <t>SE ITABAIANA 69kV 02J7 FIAÇÃO</t>
  </si>
  <si>
    <t>SE ITABAIANA 69kV 02J7 FUNCIONAL</t>
  </si>
  <si>
    <t>SE ITABAIANA 69kV 02J3 FUNCIONAL</t>
  </si>
  <si>
    <t>PRÉ LEILÃO SE IBICOARA</t>
  </si>
  <si>
    <t>PRÉ LEILÃO SE AÇU</t>
  </si>
  <si>
    <t>PRÉ LEILÃO SE CURRAL NOVO DO PIAUÍ</t>
  </si>
  <si>
    <t>SE ITABAIANA 69kV 02J7 INTERLIGAÇÃO</t>
  </si>
  <si>
    <t>All Energy-SE Ibicoara-SE Ibicoara EL 138 kV-Executivo-Elétrica-Diagrama de Interligação  138kV--</t>
  </si>
  <si>
    <t>SE IBICOARA 138kV VÃO G</t>
  </si>
  <si>
    <t xml:space="preserve">PRÉ-LEILÃO LOTE 6 </t>
  </si>
  <si>
    <t>PRÉ-LEILÃO LOTE 5</t>
  </si>
  <si>
    <t>PRÉ-LEILÃO LOTE 4</t>
  </si>
  <si>
    <t>PRÉ-LEILÃO LOTE 3</t>
  </si>
  <si>
    <t>PRÉ-LEILÃO LOTE 2</t>
  </si>
  <si>
    <t>PRÉ-LEILÃO LOTE 1</t>
  </si>
  <si>
    <t>SE ITABAIANA 02J7 INTERLIGAÇÃO</t>
  </si>
  <si>
    <t>SE ITABAIANA 02J3 INTERLIGAÇÃO</t>
  </si>
  <si>
    <t>SE ITABAIANA 02J1 FUNCIONAL</t>
  </si>
  <si>
    <t>Chesf-Pré-leilão 01_2024-Lote 1-Básico-Elétrico-Unifilar de Proteção--</t>
  </si>
  <si>
    <t>Chesf-Pré-leilão 01_2024-Lote 2-Básico-Elétrico-Unifilar de Proteção--</t>
  </si>
  <si>
    <t>Chesf-Pré-leilão 01_2024-Lote 3-Básico-Elétrico-Unifilar de Proteção--</t>
  </si>
  <si>
    <t>Chesf-Pré-leilão 01_2024-Lote 4-Básico-Elétrico-Unifilar de Proteção--</t>
  </si>
  <si>
    <t>Chesf-Pré-leilão 01_2024-Lote 5-Básico-Elétrico-Unifilar de Proteção--</t>
  </si>
  <si>
    <t>Chesf-Pré-leilão 01_2024-Lote 6-Básico-Elétrico-Unifilar de Proteção--</t>
  </si>
  <si>
    <t>SE ITABAIANA 69kV 02A1 FUNCIONAL</t>
  </si>
  <si>
    <t>SE GONHANINHA 69kV 02T1 FUNCIONAL</t>
  </si>
  <si>
    <t>SE GONHANINHA 69kV 02T2 FUNCIONAL</t>
  </si>
  <si>
    <t>SE ITABAIANA 69kV 02W1 INTERLIGAÇÃO</t>
  </si>
  <si>
    <t>Siemens-PG 4121-GNN-Executivo-Elétrico-Setor 69kV--</t>
  </si>
  <si>
    <t>All Energy-SE Ibicoara-SE Ibicoara EL 138 kV-Executivo-Elétrica-Diagramas Funcionais e lógicos 138 kV--</t>
  </si>
  <si>
    <t>CHESF-SE Campina Grande II-CGD - Secc. da barra de 69 kV e inst. De TP-Executivo-Elétrico-Diagramas Funcionais--</t>
  </si>
  <si>
    <t>CHESF-SE Campina Grande II-CGD - Secc. da barra de 69 kV e inst. De TP-Executivo-Elétrico-Diagrama de Interligação--</t>
  </si>
  <si>
    <t>SE CAMPINA GRANDE II 69kV FUNCIONAL</t>
  </si>
  <si>
    <t>SE CAMPINA GRANDE II 69kV INTERLIGAÇÃO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</si>
</sst>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  <xf numFmtId="0" fontId="2" fillId="4" borderId="21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1393825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61" zoomScaleNormal="100" workbookViewId="0">
      <pane xSplit="3" topLeftCell="X1" activePane="topRight" state="frozen"/>
      <selection pane="topRight" activeCell="B80" sqref="B80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 t="s">
        <v>13</v>
      </c>
      <c r="C7" s="15" t="s">
        <v>5</v>
      </c>
      <c r="D7" s="13"/>
      <c r="E7" s="5">
        <v>0.8</v>
      </c>
      <c r="F7" s="5"/>
      <c r="G7" s="5"/>
      <c r="H7" s="5"/>
      <c r="I7" s="5"/>
      <c r="J7" s="5"/>
      <c r="K7" s="5"/>
      <c r="L7" s="5"/>
      <c r="M7" s="5"/>
      <c r="N7" s="5">
        <v>0.9</v>
      </c>
      <c r="O7" s="5">
        <v>1.4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3.1</v>
      </c>
    </row>
    <row r="8" spans="1:35" x14ac:dyDescent="0.25">
      <c r="A8" s="26">
        <v>2</v>
      </c>
      <c r="B8" s="9" t="s">
        <v>13</v>
      </c>
      <c r="C8" s="9" t="s">
        <v>6</v>
      </c>
      <c r="D8" s="7"/>
      <c r="E8" s="7">
        <v>2.1</v>
      </c>
      <c r="F8" s="7"/>
      <c r="G8" s="7"/>
      <c r="H8" s="7"/>
      <c r="I8" s="7"/>
      <c r="J8" s="7"/>
      <c r="K8" s="7"/>
      <c r="L8" s="7"/>
      <c r="M8" s="7"/>
      <c r="N8" s="7"/>
      <c r="O8" s="7">
        <v>0.4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2.5</v>
      </c>
    </row>
    <row r="9" spans="1:35" x14ac:dyDescent="0.25">
      <c r="A9" s="26">
        <v>3</v>
      </c>
      <c r="B9" s="9" t="s">
        <v>13</v>
      </c>
      <c r="C9" s="9" t="s">
        <v>12</v>
      </c>
      <c r="D9" s="7"/>
      <c r="E9" s="7">
        <v>0.9</v>
      </c>
      <c r="F9" s="7">
        <v>0.7</v>
      </c>
      <c r="G9" s="7">
        <v>2.5</v>
      </c>
      <c r="H9" s="7">
        <v>1.1000000000000001</v>
      </c>
      <c r="I9" s="7"/>
      <c r="J9" s="7"/>
      <c r="K9" s="7">
        <v>0.3</v>
      </c>
      <c r="L9" s="7">
        <v>0.8</v>
      </c>
      <c r="M9" s="7">
        <v>1.2</v>
      </c>
      <c r="N9" s="7">
        <v>1.1000000000000001</v>
      </c>
      <c r="O9" s="7">
        <v>0.2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8.7999999999999989</v>
      </c>
    </row>
    <row r="10" spans="1:35" x14ac:dyDescent="0.25">
      <c r="A10" s="26">
        <v>4</v>
      </c>
      <c r="B10" s="9" t="s">
        <v>13</v>
      </c>
      <c r="C10" s="9" t="s">
        <v>7</v>
      </c>
      <c r="D10" s="7"/>
      <c r="E10" s="7">
        <v>1.1000000000000001</v>
      </c>
      <c r="F10" s="7">
        <v>1.3</v>
      </c>
      <c r="G10" s="7">
        <v>1.1000000000000001</v>
      </c>
      <c r="H10" s="7"/>
      <c r="I10" s="7"/>
      <c r="J10" s="7"/>
      <c r="K10" s="7"/>
      <c r="L10" s="7"/>
      <c r="M10" s="7"/>
      <c r="N10" s="7">
        <v>0.8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4.3000000000000007</v>
      </c>
    </row>
    <row r="11" spans="1:35" x14ac:dyDescent="0.25">
      <c r="A11" s="26">
        <v>5</v>
      </c>
      <c r="B11" s="9" t="s">
        <v>13</v>
      </c>
      <c r="C11" s="9" t="s">
        <v>8</v>
      </c>
      <c r="D11" s="7"/>
      <c r="E11" s="7">
        <v>0.6</v>
      </c>
      <c r="F11" s="7"/>
      <c r="G11" s="7"/>
      <c r="H11" s="7">
        <v>0.3</v>
      </c>
      <c r="I11" s="7"/>
      <c r="J11" s="7"/>
      <c r="K11" s="7"/>
      <c r="L11" s="7">
        <v>0.2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1.0999999999999999</v>
      </c>
    </row>
    <row r="12" spans="1:35" x14ac:dyDescent="0.25">
      <c r="A12" s="26">
        <v>6</v>
      </c>
      <c r="B12" s="9" t="s">
        <v>13</v>
      </c>
      <c r="C12" s="9" t="s">
        <v>9</v>
      </c>
      <c r="D12" s="7"/>
      <c r="E12" s="7">
        <v>2</v>
      </c>
      <c r="F12" s="7">
        <v>1.5</v>
      </c>
      <c r="G12" s="7"/>
      <c r="H12" s="7"/>
      <c r="I12" s="7"/>
      <c r="J12" s="7"/>
      <c r="K12" s="7">
        <v>0.3</v>
      </c>
      <c r="L12" s="7">
        <v>0.4</v>
      </c>
      <c r="M12" s="7">
        <v>1.1000000000000001</v>
      </c>
      <c r="N12" s="7"/>
      <c r="O12" s="7">
        <v>0.5</v>
      </c>
      <c r="P12" s="7"/>
      <c r="Q12" s="7"/>
      <c r="R12" s="7">
        <v>0.5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6.3000000000000007</v>
      </c>
    </row>
    <row r="13" spans="1:35" x14ac:dyDescent="0.25">
      <c r="A13" s="26">
        <v>7</v>
      </c>
      <c r="B13" s="9" t="s">
        <v>13</v>
      </c>
      <c r="C13" s="9" t="s">
        <v>10</v>
      </c>
      <c r="D13" s="7"/>
      <c r="E13" s="7">
        <v>0.5</v>
      </c>
      <c r="F13" s="7"/>
      <c r="G13" s="7"/>
      <c r="H13" s="7"/>
      <c r="I13" s="7"/>
      <c r="J13" s="7"/>
      <c r="K13" s="7"/>
      <c r="L13" s="7">
        <v>1.3</v>
      </c>
      <c r="M13" s="7">
        <v>1.5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3.3</v>
      </c>
    </row>
    <row r="14" spans="1:35" x14ac:dyDescent="0.25">
      <c r="A14" s="26">
        <v>8</v>
      </c>
      <c r="B14" s="43" t="s">
        <v>17</v>
      </c>
      <c r="C14" s="9" t="s">
        <v>11</v>
      </c>
      <c r="D14" s="7"/>
      <c r="E14" s="7">
        <v>0.5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0.5</v>
      </c>
    </row>
    <row r="15" spans="1:35" x14ac:dyDescent="0.25">
      <c r="A15" s="26">
        <v>9</v>
      </c>
      <c r="B15" s="9" t="s">
        <v>13</v>
      </c>
      <c r="C15" s="9" t="s">
        <v>14</v>
      </c>
      <c r="D15" s="7"/>
      <c r="E15" s="7">
        <v>0.5</v>
      </c>
      <c r="F15" s="7">
        <v>4.0999999999999996</v>
      </c>
      <c r="G15" s="7">
        <v>4.9000000000000004</v>
      </c>
      <c r="H15" s="7"/>
      <c r="I15" s="7"/>
      <c r="J15" s="7"/>
      <c r="K15" s="7"/>
      <c r="L15" s="7"/>
      <c r="M15" s="7"/>
      <c r="N15" s="7">
        <v>0.6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10.1</v>
      </c>
    </row>
    <row r="16" spans="1:35" x14ac:dyDescent="0.25">
      <c r="A16" s="26">
        <v>10</v>
      </c>
      <c r="B16" s="9" t="s">
        <v>13</v>
      </c>
      <c r="C16" s="43" t="s">
        <v>15</v>
      </c>
      <c r="D16" s="7"/>
      <c r="E16" s="7"/>
      <c r="F16" s="7">
        <v>1.4</v>
      </c>
      <c r="G16" s="7">
        <v>0.3</v>
      </c>
      <c r="H16" s="7">
        <v>0.5</v>
      </c>
      <c r="I16" s="7"/>
      <c r="J16" s="7"/>
      <c r="K16" s="7">
        <v>0.5</v>
      </c>
      <c r="L16" s="7">
        <v>1.5</v>
      </c>
      <c r="M16" s="7"/>
      <c r="N16" s="7">
        <v>0.4</v>
      </c>
      <c r="O16" s="7">
        <v>0.6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5.2</v>
      </c>
    </row>
    <row r="17" spans="1:35" x14ac:dyDescent="0.25">
      <c r="A17" s="26">
        <v>11</v>
      </c>
      <c r="B17" s="9" t="s">
        <v>13</v>
      </c>
      <c r="C17" s="9" t="s">
        <v>16</v>
      </c>
      <c r="D17" s="7"/>
      <c r="E17" s="7"/>
      <c r="F17" s="7"/>
      <c r="G17" s="7">
        <v>0.2</v>
      </c>
      <c r="H17" s="7">
        <v>0.4</v>
      </c>
      <c r="I17" s="7"/>
      <c r="J17" s="7"/>
      <c r="K17" s="7"/>
      <c r="L17" s="7">
        <v>0.4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25">
      <c r="A18" s="26">
        <v>12</v>
      </c>
      <c r="B18" s="9" t="s">
        <v>13</v>
      </c>
      <c r="C18" s="9" t="s">
        <v>19</v>
      </c>
      <c r="D18" s="7"/>
      <c r="E18" s="7"/>
      <c r="F18" s="7"/>
      <c r="G18" s="7"/>
      <c r="H18" s="7">
        <v>2.1</v>
      </c>
      <c r="I18" s="7"/>
      <c r="J18" s="7"/>
      <c r="K18" s="7">
        <v>1.2</v>
      </c>
      <c r="L18" s="7">
        <v>1.1000000000000001</v>
      </c>
      <c r="M18" s="7"/>
      <c r="N18" s="7">
        <v>1.3</v>
      </c>
      <c r="O18" s="7">
        <v>0.2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5.9</v>
      </c>
    </row>
    <row r="19" spans="1:35" x14ac:dyDescent="0.25">
      <c r="A19" s="26">
        <v>13</v>
      </c>
      <c r="B19" s="9" t="s">
        <v>13</v>
      </c>
      <c r="C19" s="9" t="s">
        <v>18</v>
      </c>
      <c r="D19" s="7"/>
      <c r="E19" s="7"/>
      <c r="F19" s="7"/>
      <c r="G19" s="7"/>
      <c r="H19" s="7">
        <v>2.1</v>
      </c>
      <c r="I19" s="7"/>
      <c r="J19" s="7"/>
      <c r="K19" s="7">
        <v>2.1</v>
      </c>
      <c r="L19" s="7"/>
      <c r="M19" s="7"/>
      <c r="N19" s="7"/>
      <c r="O19" s="7">
        <v>1.9</v>
      </c>
      <c r="P19" s="7"/>
      <c r="Q19" s="7"/>
      <c r="R19" s="7">
        <v>0.7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6.8</v>
      </c>
    </row>
    <row r="20" spans="1:35" x14ac:dyDescent="0.25">
      <c r="A20" s="26">
        <v>14</v>
      </c>
      <c r="B20" s="43" t="s">
        <v>17</v>
      </c>
      <c r="C20" s="43" t="s">
        <v>20</v>
      </c>
      <c r="D20" s="7"/>
      <c r="E20" s="7"/>
      <c r="F20" s="7"/>
      <c r="G20" s="7"/>
      <c r="H20" s="7">
        <v>0.7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0.7</v>
      </c>
    </row>
    <row r="21" spans="1:35" x14ac:dyDescent="0.25">
      <c r="A21" s="26">
        <v>15</v>
      </c>
      <c r="B21" s="8" t="s">
        <v>21</v>
      </c>
      <c r="C21" s="9" t="s">
        <v>23</v>
      </c>
      <c r="D21" s="7"/>
      <c r="E21" s="7"/>
      <c r="F21" s="7"/>
      <c r="G21" s="7"/>
      <c r="H21" s="7">
        <v>0.9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0.9</v>
      </c>
    </row>
    <row r="22" spans="1:35" x14ac:dyDescent="0.25">
      <c r="A22" s="26">
        <v>16</v>
      </c>
      <c r="B22" s="8" t="s">
        <v>21</v>
      </c>
      <c r="C22" s="43" t="s">
        <v>24</v>
      </c>
      <c r="D22" s="7"/>
      <c r="E22" s="7"/>
      <c r="F22" s="7"/>
      <c r="G22" s="7"/>
      <c r="H22" s="7">
        <v>0.6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0.6</v>
      </c>
    </row>
    <row r="23" spans="1:35" x14ac:dyDescent="0.25">
      <c r="A23" s="26">
        <v>17</v>
      </c>
      <c r="B23" s="8" t="s">
        <v>21</v>
      </c>
      <c r="C23" s="8" t="s">
        <v>22</v>
      </c>
      <c r="D23" s="7"/>
      <c r="E23" s="7"/>
      <c r="F23" s="7"/>
      <c r="G23" s="7"/>
      <c r="H23" s="7">
        <v>0.3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0.3</v>
      </c>
    </row>
    <row r="24" spans="1:35" x14ac:dyDescent="0.25">
      <c r="A24" s="26">
        <v>18</v>
      </c>
      <c r="B24" s="9" t="s">
        <v>13</v>
      </c>
      <c r="C24" s="9" t="s">
        <v>25</v>
      </c>
      <c r="D24" s="7"/>
      <c r="E24" s="7"/>
      <c r="F24" s="7"/>
      <c r="G24" s="7"/>
      <c r="H24" s="7"/>
      <c r="I24" s="7"/>
      <c r="J24" s="7"/>
      <c r="K24" s="7">
        <v>0.5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25">
      <c r="A25" s="26">
        <v>19</v>
      </c>
      <c r="B25" s="9" t="s">
        <v>13</v>
      </c>
      <c r="C25" s="6" t="s">
        <v>26</v>
      </c>
      <c r="D25" s="7"/>
      <c r="E25" s="7"/>
      <c r="F25" s="7"/>
      <c r="G25" s="7"/>
      <c r="H25" s="7"/>
      <c r="I25" s="7"/>
      <c r="J25" s="7"/>
      <c r="K25" s="7">
        <v>1.1000000000000001</v>
      </c>
      <c r="L25" s="7">
        <v>0.8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1.9000000000000001</v>
      </c>
    </row>
    <row r="26" spans="1:35" x14ac:dyDescent="0.25">
      <c r="A26" s="26">
        <v>20</v>
      </c>
      <c r="B26" s="43" t="s">
        <v>17</v>
      </c>
      <c r="C26" s="9" t="s">
        <v>28</v>
      </c>
      <c r="D26" s="7"/>
      <c r="E26" s="7"/>
      <c r="F26" s="7"/>
      <c r="G26" s="7"/>
      <c r="H26" s="7"/>
      <c r="I26" s="7"/>
      <c r="J26" s="7"/>
      <c r="K26" s="7">
        <v>1.1000000000000001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1.1000000000000001</v>
      </c>
    </row>
    <row r="27" spans="1:35" x14ac:dyDescent="0.25">
      <c r="A27" s="26">
        <v>21</v>
      </c>
      <c r="B27" s="43" t="s">
        <v>17</v>
      </c>
      <c r="C27" s="9" t="s">
        <v>27</v>
      </c>
      <c r="D27" s="7"/>
      <c r="E27" s="7"/>
      <c r="F27" s="7"/>
      <c r="G27" s="7"/>
      <c r="H27" s="7"/>
      <c r="I27" s="7"/>
      <c r="J27" s="7"/>
      <c r="K27" s="7">
        <v>0.8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0.8</v>
      </c>
    </row>
    <row r="28" spans="1:35" x14ac:dyDescent="0.25">
      <c r="A28" s="26">
        <v>22</v>
      </c>
      <c r="B28" s="8" t="s">
        <v>29</v>
      </c>
      <c r="C28" s="9" t="s">
        <v>31</v>
      </c>
      <c r="D28" s="7"/>
      <c r="E28" s="7"/>
      <c r="F28" s="7"/>
      <c r="G28" s="7"/>
      <c r="H28" s="7"/>
      <c r="I28" s="7"/>
      <c r="J28" s="7"/>
      <c r="K28" s="7">
        <v>0.8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0.8</v>
      </c>
    </row>
    <row r="29" spans="1:35" x14ac:dyDescent="0.25">
      <c r="A29" s="26">
        <v>23</v>
      </c>
      <c r="B29" s="43" t="s">
        <v>29</v>
      </c>
      <c r="C29" s="9" t="s">
        <v>30</v>
      </c>
      <c r="D29" s="7"/>
      <c r="E29" s="7"/>
      <c r="F29" s="7"/>
      <c r="G29" s="7"/>
      <c r="H29" s="7"/>
      <c r="I29" s="7"/>
      <c r="J29" s="7"/>
      <c r="K29" s="7">
        <v>0.3</v>
      </c>
      <c r="L29" s="7">
        <v>0.5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0.8</v>
      </c>
    </row>
    <row r="30" spans="1:35" x14ac:dyDescent="0.25">
      <c r="A30" s="26">
        <v>24</v>
      </c>
      <c r="B30" s="43" t="s">
        <v>29</v>
      </c>
      <c r="C30" s="6" t="s">
        <v>32</v>
      </c>
      <c r="D30" s="7"/>
      <c r="E30" s="7"/>
      <c r="F30" s="7"/>
      <c r="G30" s="7"/>
      <c r="H30" s="7"/>
      <c r="I30" s="7"/>
      <c r="J30" s="7"/>
      <c r="K30" s="7"/>
      <c r="L30" s="7">
        <v>0.3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0.3</v>
      </c>
    </row>
    <row r="31" spans="1:35" x14ac:dyDescent="0.25">
      <c r="A31" s="26">
        <v>25</v>
      </c>
      <c r="B31" s="9" t="s">
        <v>13</v>
      </c>
      <c r="C31" s="9" t="s">
        <v>33</v>
      </c>
      <c r="D31" s="7"/>
      <c r="E31" s="7"/>
      <c r="F31" s="7"/>
      <c r="G31" s="7"/>
      <c r="H31" s="7"/>
      <c r="I31" s="7"/>
      <c r="J31" s="7"/>
      <c r="K31" s="7"/>
      <c r="L31" s="7">
        <v>0.3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0.3</v>
      </c>
    </row>
    <row r="32" spans="1:35" x14ac:dyDescent="0.25">
      <c r="A32" s="26">
        <v>26</v>
      </c>
      <c r="B32" s="8" t="s">
        <v>34</v>
      </c>
      <c r="C32" s="43" t="s">
        <v>38</v>
      </c>
      <c r="D32" s="7"/>
      <c r="E32" s="7"/>
      <c r="F32" s="7"/>
      <c r="G32" s="7"/>
      <c r="H32" s="7"/>
      <c r="I32" s="7"/>
      <c r="J32" s="7"/>
      <c r="K32" s="7"/>
      <c r="L32" s="7">
        <v>0.8</v>
      </c>
      <c r="M32" s="7">
        <v>0.5</v>
      </c>
      <c r="N32" s="7"/>
      <c r="O32" s="7"/>
      <c r="P32" s="7"/>
      <c r="Q32" s="7"/>
      <c r="R32" s="7">
        <v>1.5</v>
      </c>
      <c r="S32" s="7">
        <v>1.2</v>
      </c>
      <c r="T32" s="7">
        <v>1</v>
      </c>
      <c r="U32" s="7">
        <v>0.8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5.8</v>
      </c>
    </row>
    <row r="33" spans="1:35" x14ac:dyDescent="0.25">
      <c r="A33" s="26">
        <v>27</v>
      </c>
      <c r="B33" s="8" t="s">
        <v>34</v>
      </c>
      <c r="C33" s="43" t="s">
        <v>39</v>
      </c>
      <c r="D33" s="7"/>
      <c r="E33" s="7"/>
      <c r="F33" s="7"/>
      <c r="G33" s="7"/>
      <c r="H33" s="7"/>
      <c r="I33" s="7"/>
      <c r="J33" s="7"/>
      <c r="K33" s="7"/>
      <c r="L33" s="7">
        <v>0.6</v>
      </c>
      <c r="M33" s="7">
        <v>0.5</v>
      </c>
      <c r="N33" s="7"/>
      <c r="O33" s="7"/>
      <c r="P33" s="7"/>
      <c r="Q33" s="7"/>
      <c r="R33" s="7"/>
      <c r="S33" s="7"/>
      <c r="T33" s="7">
        <v>1.1000000000000001</v>
      </c>
      <c r="U33" s="7"/>
      <c r="V33" s="7"/>
      <c r="W33" s="7"/>
      <c r="X33" s="7"/>
      <c r="Y33" s="7"/>
      <c r="Z33" s="7"/>
      <c r="AA33" s="7">
        <v>1.3</v>
      </c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25">
      <c r="A34" s="26">
        <v>28</v>
      </c>
      <c r="B34" s="8" t="s">
        <v>34</v>
      </c>
      <c r="C34" s="43" t="s">
        <v>71</v>
      </c>
      <c r="D34" s="7"/>
      <c r="E34" s="7"/>
      <c r="F34" s="7"/>
      <c r="G34" s="7"/>
      <c r="H34" s="7"/>
      <c r="I34" s="7"/>
      <c r="J34" s="7"/>
      <c r="K34" s="7"/>
      <c r="L34" s="7"/>
      <c r="M34" s="7">
        <v>1.1000000000000001</v>
      </c>
      <c r="N34" s="7">
        <v>0.7</v>
      </c>
      <c r="O34" s="7"/>
      <c r="P34" s="7"/>
      <c r="Q34" s="7"/>
      <c r="R34" s="7"/>
      <c r="S34" s="7">
        <v>2.9</v>
      </c>
      <c r="T34" s="7">
        <v>0.9</v>
      </c>
      <c r="U34" s="7"/>
      <c r="V34" s="7">
        <v>1.1000000000000001</v>
      </c>
      <c r="W34" s="7"/>
      <c r="X34" s="7"/>
      <c r="Y34" s="7"/>
      <c r="Z34" s="7"/>
      <c r="AA34" s="7">
        <v>1.1000000000000001</v>
      </c>
      <c r="AB34" s="7">
        <v>1.3</v>
      </c>
      <c r="AC34" s="7"/>
      <c r="AD34" s="7"/>
      <c r="AE34" s="7"/>
      <c r="AF34" s="7"/>
      <c r="AG34" s="7">
        <v>2.2000000000000002</v>
      </c>
      <c r="AH34" s="7"/>
      <c r="AI34" s="2">
        <f t="shared" si="0"/>
        <v>11.3</v>
      </c>
    </row>
    <row r="35" spans="1:35" x14ac:dyDescent="0.25">
      <c r="A35" s="26">
        <v>29</v>
      </c>
      <c r="B35" s="9" t="s">
        <v>13</v>
      </c>
      <c r="C35" s="8" t="s">
        <v>35</v>
      </c>
      <c r="D35" s="7"/>
      <c r="E35" s="7"/>
      <c r="F35" s="7"/>
      <c r="G35" s="7"/>
      <c r="H35" s="7"/>
      <c r="I35" s="7"/>
      <c r="J35" s="7"/>
      <c r="K35" s="7"/>
      <c r="L35" s="7"/>
      <c r="M35" s="7">
        <v>1.2</v>
      </c>
      <c r="N35" s="7"/>
      <c r="O35" s="7">
        <v>0.3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1.5</v>
      </c>
    </row>
    <row r="36" spans="1:35" x14ac:dyDescent="0.25">
      <c r="A36" s="26">
        <v>30</v>
      </c>
      <c r="B36" s="9" t="s">
        <v>13</v>
      </c>
      <c r="C36" s="43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>
        <v>1.5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1.5</v>
      </c>
    </row>
    <row r="37" spans="1:35" x14ac:dyDescent="0.25">
      <c r="A37" s="26">
        <v>31</v>
      </c>
      <c r="B37" s="9" t="s">
        <v>13</v>
      </c>
      <c r="C37" s="8" t="s">
        <v>36</v>
      </c>
      <c r="D37" s="7"/>
      <c r="E37" s="7"/>
      <c r="F37" s="7"/>
      <c r="G37" s="7"/>
      <c r="H37" s="7"/>
      <c r="I37" s="7"/>
      <c r="J37" s="7"/>
      <c r="K37" s="7"/>
      <c r="L37" s="7"/>
      <c r="M37" s="7">
        <v>1.4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1.4</v>
      </c>
    </row>
    <row r="38" spans="1:35" x14ac:dyDescent="0.25">
      <c r="A38" s="26">
        <v>32</v>
      </c>
      <c r="B38" s="43" t="s">
        <v>17</v>
      </c>
      <c r="C38" s="10" t="s">
        <v>40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1.8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1.8</v>
      </c>
    </row>
    <row r="39" spans="1:35" x14ac:dyDescent="0.25">
      <c r="A39" s="26">
        <v>33</v>
      </c>
      <c r="B39" s="10" t="s">
        <v>41</v>
      </c>
      <c r="C39" s="44" t="s">
        <v>43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>
        <v>0.3</v>
      </c>
      <c r="O39" s="11">
        <v>0.7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10" t="s">
        <v>41</v>
      </c>
      <c r="C40" s="10" t="s">
        <v>42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>
        <v>0.2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0.2</v>
      </c>
    </row>
    <row r="41" spans="1:35" x14ac:dyDescent="0.25">
      <c r="A41" s="26">
        <v>35</v>
      </c>
      <c r="B41" s="9" t="s">
        <v>13</v>
      </c>
      <c r="C41" s="10" t="s">
        <v>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0.9</v>
      </c>
      <c r="O41" s="11">
        <v>1.5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2.4</v>
      </c>
    </row>
    <row r="42" spans="1:35" x14ac:dyDescent="0.25">
      <c r="A42" s="26">
        <v>36</v>
      </c>
      <c r="B42" s="8" t="s">
        <v>34</v>
      </c>
      <c r="C42" s="43" t="s">
        <v>45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>
        <v>0.9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>
        <v>1.6</v>
      </c>
      <c r="AC42" s="11"/>
      <c r="AD42" s="11"/>
      <c r="AE42" s="11"/>
      <c r="AF42" s="11"/>
      <c r="AG42" s="11">
        <v>2.2999999999999998</v>
      </c>
      <c r="AH42" s="11"/>
      <c r="AI42" s="2">
        <f t="shared" si="0"/>
        <v>4.8</v>
      </c>
    </row>
    <row r="43" spans="1:35" x14ac:dyDescent="0.25">
      <c r="A43" s="26">
        <v>37</v>
      </c>
      <c r="B43" s="44" t="s">
        <v>46</v>
      </c>
      <c r="C43" s="10" t="s">
        <v>47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>
        <v>0.7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0.7</v>
      </c>
    </row>
    <row r="44" spans="1:35" x14ac:dyDescent="0.25">
      <c r="A44" s="26">
        <v>38</v>
      </c>
      <c r="B44" s="9" t="s">
        <v>13</v>
      </c>
      <c r="C44" s="44" t="s">
        <v>49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v>2.2000000000000002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25">
      <c r="A45" s="26">
        <v>39</v>
      </c>
      <c r="B45" s="9" t="s">
        <v>13</v>
      </c>
      <c r="C45" s="10" t="s">
        <v>48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3.4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3.4</v>
      </c>
    </row>
    <row r="46" spans="1:35" x14ac:dyDescent="0.25">
      <c r="A46" s="26">
        <v>40</v>
      </c>
      <c r="B46" s="43" t="s">
        <v>55</v>
      </c>
      <c r="C46" s="44" t="s">
        <v>56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>
        <v>0.9</v>
      </c>
      <c r="T46" s="11">
        <v>1.1000000000000001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</v>
      </c>
    </row>
    <row r="47" spans="1:35" x14ac:dyDescent="0.25">
      <c r="A47" s="26">
        <v>41</v>
      </c>
      <c r="B47" s="8" t="s">
        <v>34</v>
      </c>
      <c r="C47" s="10" t="s">
        <v>50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>
        <v>1.7</v>
      </c>
      <c r="S47" s="11">
        <v>1.1000000000000001</v>
      </c>
      <c r="T47" s="11">
        <v>0.8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>
        <v>1.3</v>
      </c>
      <c r="AG47" s="11"/>
      <c r="AH47" s="11"/>
      <c r="AI47" s="2">
        <f t="shared" si="0"/>
        <v>4.8999999999999995</v>
      </c>
    </row>
    <row r="48" spans="1:35" x14ac:dyDescent="0.25">
      <c r="A48" s="26">
        <v>42</v>
      </c>
      <c r="B48" s="43" t="s">
        <v>17</v>
      </c>
      <c r="C48" s="44" t="s">
        <v>52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1.4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1.4</v>
      </c>
    </row>
    <row r="49" spans="1:35" x14ac:dyDescent="0.25">
      <c r="A49" s="26">
        <v>43</v>
      </c>
      <c r="B49" s="43" t="s">
        <v>17</v>
      </c>
      <c r="C49" s="44" t="s">
        <v>51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1.3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1.3</v>
      </c>
    </row>
    <row r="50" spans="1:35" x14ac:dyDescent="0.25">
      <c r="A50" s="26">
        <v>44</v>
      </c>
      <c r="B50" s="10" t="s">
        <v>53</v>
      </c>
      <c r="C50" s="10" t="s">
        <v>54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0.4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0.9</v>
      </c>
      <c r="AE50" s="11"/>
      <c r="AF50" s="11"/>
      <c r="AG50" s="11"/>
      <c r="AH50" s="11"/>
      <c r="AI50" s="2">
        <f t="shared" si="0"/>
        <v>1.3</v>
      </c>
    </row>
    <row r="51" spans="1:35" x14ac:dyDescent="0.25">
      <c r="A51" s="26">
        <v>45</v>
      </c>
      <c r="B51" s="43" t="s">
        <v>17</v>
      </c>
      <c r="C51" s="10" t="s">
        <v>57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0.8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0.8</v>
      </c>
    </row>
    <row r="52" spans="1:35" x14ac:dyDescent="0.25">
      <c r="A52" s="26">
        <v>46</v>
      </c>
      <c r="B52" s="10" t="s">
        <v>46</v>
      </c>
      <c r="C52" s="44" t="s">
        <v>59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>
        <v>0.8</v>
      </c>
      <c r="U52" s="11">
        <v>0.2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25">
      <c r="A53" s="26">
        <v>47</v>
      </c>
      <c r="B53" s="10" t="s">
        <v>46</v>
      </c>
      <c r="C53" s="10" t="s">
        <v>58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>
        <v>0.7</v>
      </c>
      <c r="U53" s="11">
        <v>0.6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1.2999999999999998</v>
      </c>
    </row>
    <row r="54" spans="1:35" x14ac:dyDescent="0.25">
      <c r="A54" s="26">
        <v>48</v>
      </c>
      <c r="B54" s="8" t="s">
        <v>34</v>
      </c>
      <c r="C54" s="44" t="s">
        <v>81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1</v>
      </c>
      <c r="U54" s="11">
        <v>0.8</v>
      </c>
      <c r="V54" s="11">
        <v>0.8</v>
      </c>
      <c r="W54" s="11"/>
      <c r="X54" s="11"/>
      <c r="Y54" s="11">
        <v>0.8</v>
      </c>
      <c r="Z54" s="11"/>
      <c r="AA54" s="11"/>
      <c r="AB54" s="11"/>
      <c r="AC54" s="11"/>
      <c r="AD54" s="11"/>
      <c r="AE54" s="11"/>
      <c r="AF54" s="11">
        <v>1.1000000000000001</v>
      </c>
      <c r="AG54" s="11"/>
      <c r="AH54" s="11"/>
      <c r="AI54" s="2">
        <f t="shared" si="0"/>
        <v>4.5</v>
      </c>
    </row>
    <row r="55" spans="1:35" x14ac:dyDescent="0.25">
      <c r="A55" s="26">
        <v>49</v>
      </c>
      <c r="B55" s="8" t="s">
        <v>34</v>
      </c>
      <c r="C55" s="44" t="s">
        <v>78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0.8</v>
      </c>
      <c r="U55" s="11">
        <v>4.9000000000000004</v>
      </c>
      <c r="V55" s="11">
        <v>3.7</v>
      </c>
      <c r="W55" s="11"/>
      <c r="X55" s="11"/>
      <c r="Y55" s="11">
        <v>1.5</v>
      </c>
      <c r="Z55" s="11"/>
      <c r="AA55" s="11">
        <v>1.5</v>
      </c>
      <c r="AB55" s="11">
        <v>2.2000000000000002</v>
      </c>
      <c r="AC55" s="11"/>
      <c r="AD55" s="11"/>
      <c r="AE55" s="11"/>
      <c r="AF55" s="11"/>
      <c r="AG55" s="11"/>
      <c r="AH55" s="11"/>
      <c r="AI55" s="2">
        <f t="shared" si="0"/>
        <v>14.600000000000001</v>
      </c>
    </row>
    <row r="56" spans="1:35" x14ac:dyDescent="0.25">
      <c r="A56" s="26">
        <v>50</v>
      </c>
      <c r="B56" s="10" t="s">
        <v>60</v>
      </c>
      <c r="C56" s="10" t="s">
        <v>61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0.5</v>
      </c>
      <c r="V56" s="11">
        <v>2.2999999999999998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2.8</v>
      </c>
    </row>
    <row r="57" spans="1:35" x14ac:dyDescent="0.25">
      <c r="A57" s="26">
        <v>51</v>
      </c>
      <c r="B57" s="10" t="s">
        <v>62</v>
      </c>
      <c r="C57" s="10" t="s">
        <v>63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>
        <v>1.2</v>
      </c>
      <c r="V57" s="11">
        <v>1.1000000000000001</v>
      </c>
      <c r="W57" s="11"/>
      <c r="X57" s="11"/>
      <c r="Y57" s="11">
        <v>1.2</v>
      </c>
      <c r="Z57" s="11">
        <v>1.4</v>
      </c>
      <c r="AA57" s="11"/>
      <c r="AB57" s="11"/>
      <c r="AC57" s="11"/>
      <c r="AD57" s="11"/>
      <c r="AE57" s="11"/>
      <c r="AF57" s="11"/>
      <c r="AG57" s="11">
        <v>0.5</v>
      </c>
      <c r="AH57" s="11"/>
      <c r="AI57" s="2">
        <f t="shared" si="0"/>
        <v>5.4</v>
      </c>
    </row>
    <row r="58" spans="1:35" x14ac:dyDescent="0.25">
      <c r="A58" s="26">
        <v>52</v>
      </c>
      <c r="B58" s="10" t="s">
        <v>62</v>
      </c>
      <c r="C58" s="44" t="s">
        <v>64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44" t="s">
        <v>46</v>
      </c>
      <c r="C59" s="44" t="s">
        <v>66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0.8</v>
      </c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0.8</v>
      </c>
    </row>
    <row r="60" spans="1:35" x14ac:dyDescent="0.25">
      <c r="A60" s="26">
        <v>54</v>
      </c>
      <c r="B60" s="44" t="s">
        <v>46</v>
      </c>
      <c r="C60" s="10" t="s">
        <v>65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0.7</v>
      </c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0.7</v>
      </c>
    </row>
    <row r="61" spans="1:35" x14ac:dyDescent="0.25">
      <c r="A61" s="26">
        <v>55</v>
      </c>
      <c r="B61" s="10" t="s">
        <v>62</v>
      </c>
      <c r="C61" s="10" t="s">
        <v>67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>
        <v>1.6</v>
      </c>
      <c r="Z61" s="11">
        <v>2.5</v>
      </c>
      <c r="AA61" s="11"/>
      <c r="AB61" s="11">
        <v>0.3</v>
      </c>
      <c r="AC61" s="11"/>
      <c r="AD61" s="11"/>
      <c r="AE61" s="11"/>
      <c r="AF61" s="11"/>
      <c r="AG61" s="11"/>
      <c r="AH61" s="11"/>
      <c r="AI61" s="2">
        <f t="shared" si="0"/>
        <v>4.3999999999999995</v>
      </c>
    </row>
    <row r="62" spans="1:35" x14ac:dyDescent="0.25">
      <c r="A62" s="26">
        <v>56</v>
      </c>
      <c r="B62" s="10" t="s">
        <v>62</v>
      </c>
      <c r="C62" s="44" t="s">
        <v>69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1.4</v>
      </c>
      <c r="Z62" s="11">
        <v>0.3</v>
      </c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1.7</v>
      </c>
    </row>
    <row r="63" spans="1:35" x14ac:dyDescent="0.25">
      <c r="A63" s="26">
        <v>57</v>
      </c>
      <c r="B63" s="10" t="s">
        <v>62</v>
      </c>
      <c r="C63" s="10" t="s">
        <v>68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>
        <v>0.7</v>
      </c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0.7</v>
      </c>
    </row>
    <row r="64" spans="1:35" x14ac:dyDescent="0.25">
      <c r="A64" s="26">
        <v>58</v>
      </c>
      <c r="B64" s="9" t="s">
        <v>13</v>
      </c>
      <c r="C64" s="10" t="s">
        <v>70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0.3</v>
      </c>
    </row>
    <row r="65" spans="1:35" x14ac:dyDescent="0.25">
      <c r="A65" s="26">
        <v>59</v>
      </c>
      <c r="B65" s="8" t="s">
        <v>34</v>
      </c>
      <c r="C65" s="44" t="s">
        <v>80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>
        <v>4.3</v>
      </c>
      <c r="AA65" s="11">
        <v>2.5</v>
      </c>
      <c r="AB65" s="11"/>
      <c r="AC65" s="11">
        <v>1.3</v>
      </c>
      <c r="AD65" s="11">
        <v>0.9</v>
      </c>
      <c r="AE65" s="11"/>
      <c r="AF65" s="11"/>
      <c r="AG65" s="11"/>
      <c r="AH65" s="11"/>
      <c r="AI65" s="2">
        <f t="shared" si="0"/>
        <v>9</v>
      </c>
    </row>
    <row r="66" spans="1:35" x14ac:dyDescent="0.25">
      <c r="A66" s="26">
        <v>60</v>
      </c>
      <c r="B66" s="8" t="s">
        <v>34</v>
      </c>
      <c r="C66" s="44" t="s">
        <v>77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>
        <v>0.5</v>
      </c>
      <c r="AA66" s="11">
        <v>2.6</v>
      </c>
      <c r="AB66" s="11"/>
      <c r="AC66" s="11"/>
      <c r="AD66" s="11"/>
      <c r="AE66" s="11"/>
      <c r="AF66" s="11">
        <v>1.3</v>
      </c>
      <c r="AG66" s="11"/>
      <c r="AH66" s="11">
        <v>1</v>
      </c>
      <c r="AI66" s="2">
        <f t="shared" si="0"/>
        <v>5.4</v>
      </c>
    </row>
    <row r="67" spans="1:35" x14ac:dyDescent="0.25">
      <c r="A67" s="26">
        <v>61</v>
      </c>
      <c r="B67" s="8" t="s">
        <v>34</v>
      </c>
      <c r="C67" s="44" t="s">
        <v>76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1.2</v>
      </c>
      <c r="AC67" s="11"/>
      <c r="AD67" s="11"/>
      <c r="AE67" s="11"/>
      <c r="AF67" s="11"/>
      <c r="AG67" s="11">
        <v>1.5</v>
      </c>
      <c r="AH67" s="11"/>
      <c r="AI67" s="2">
        <f t="shared" si="0"/>
        <v>2.7</v>
      </c>
    </row>
    <row r="68" spans="1:35" x14ac:dyDescent="0.25">
      <c r="A68" s="26">
        <v>62</v>
      </c>
      <c r="B68" s="8" t="s">
        <v>34</v>
      </c>
      <c r="C68" s="44" t="s">
        <v>75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1.5</v>
      </c>
      <c r="AC68" s="11"/>
      <c r="AD68" s="11">
        <v>1</v>
      </c>
      <c r="AE68" s="11"/>
      <c r="AF68" s="11"/>
      <c r="AG68" s="11"/>
      <c r="AH68" s="11"/>
      <c r="AI68" s="2">
        <f t="shared" si="0"/>
        <v>2.5</v>
      </c>
    </row>
    <row r="69" spans="1:35" x14ac:dyDescent="0.25">
      <c r="A69" s="26">
        <v>63</v>
      </c>
      <c r="B69" s="9" t="s">
        <v>13</v>
      </c>
      <c r="C69" s="10" t="s">
        <v>72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0.9</v>
      </c>
      <c r="AC69" s="11"/>
      <c r="AD69" s="11"/>
      <c r="AE69" s="11"/>
      <c r="AF69" s="11"/>
      <c r="AG69" s="11"/>
      <c r="AH69" s="11"/>
      <c r="AI69" s="2">
        <f t="shared" si="0"/>
        <v>0.9</v>
      </c>
    </row>
    <row r="70" spans="1:35" x14ac:dyDescent="0.25">
      <c r="A70" s="26">
        <v>64</v>
      </c>
      <c r="B70" s="10" t="s">
        <v>46</v>
      </c>
      <c r="C70" s="44" t="s">
        <v>73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>
        <v>3.1</v>
      </c>
      <c r="AD70" s="11"/>
      <c r="AE70" s="11"/>
      <c r="AF70" s="11"/>
      <c r="AG70" s="11"/>
      <c r="AH70" s="11"/>
      <c r="AI70" s="2">
        <f t="shared" si="0"/>
        <v>3.1</v>
      </c>
    </row>
    <row r="71" spans="1:35" x14ac:dyDescent="0.25">
      <c r="A71" s="26">
        <v>65</v>
      </c>
      <c r="B71" s="8" t="s">
        <v>34</v>
      </c>
      <c r="C71" s="44" t="s">
        <v>74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>
        <v>3.8</v>
      </c>
      <c r="AD71" s="11">
        <v>1.2</v>
      </c>
      <c r="AE71" s="11"/>
      <c r="AF71" s="11"/>
      <c r="AG71" s="11"/>
      <c r="AH71" s="11">
        <v>1.2</v>
      </c>
      <c r="AI71" s="2">
        <f t="shared" si="0"/>
        <v>6.2</v>
      </c>
    </row>
    <row r="72" spans="1:35" x14ac:dyDescent="0.25">
      <c r="A72" s="26">
        <v>66</v>
      </c>
      <c r="B72" s="8" t="s">
        <v>34</v>
      </c>
      <c r="C72" s="44" t="s">
        <v>79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1.3</v>
      </c>
      <c r="AD72" s="11">
        <v>0.7</v>
      </c>
      <c r="AE72" s="11"/>
      <c r="AF72" s="11"/>
      <c r="AG72" s="11"/>
      <c r="AH72" s="11"/>
      <c r="AI72" s="2">
        <f t="shared" si="0"/>
        <v>2</v>
      </c>
    </row>
    <row r="73" spans="1:35" x14ac:dyDescent="0.25">
      <c r="A73" s="26">
        <v>67</v>
      </c>
      <c r="B73" s="8" t="s">
        <v>34</v>
      </c>
      <c r="C73" s="10" t="s">
        <v>82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>
        <v>1.8</v>
      </c>
      <c r="AE73" s="11"/>
      <c r="AF73" s="11"/>
      <c r="AG73" s="11"/>
      <c r="AH73" s="11">
        <v>1.1000000000000001</v>
      </c>
      <c r="AI73" s="2">
        <f t="shared" si="0"/>
        <v>2.9000000000000004</v>
      </c>
    </row>
    <row r="74" spans="1:35" x14ac:dyDescent="0.25">
      <c r="A74" s="26">
        <v>68</v>
      </c>
      <c r="B74" s="8" t="s">
        <v>34</v>
      </c>
      <c r="C74" s="44" t="s">
        <v>84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0.9</v>
      </c>
      <c r="AE74" s="11"/>
      <c r="AF74" s="11"/>
      <c r="AG74" s="11"/>
      <c r="AH74" s="11"/>
      <c r="AI74" s="2">
        <f t="shared" si="0"/>
        <v>0.9</v>
      </c>
    </row>
    <row r="75" spans="1:35" x14ac:dyDescent="0.25">
      <c r="A75" s="26">
        <v>69</v>
      </c>
      <c r="B75" s="8" t="s">
        <v>34</v>
      </c>
      <c r="C75" s="10" t="s">
        <v>83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>
        <v>1.6</v>
      </c>
      <c r="AE75" s="11"/>
      <c r="AF75" s="11">
        <v>1.4</v>
      </c>
      <c r="AG75" s="11"/>
      <c r="AH75" s="11"/>
      <c r="AI75" s="2">
        <f t="shared" si="0"/>
        <v>3</v>
      </c>
    </row>
    <row r="76" spans="1:35" x14ac:dyDescent="0.25">
      <c r="A76" s="26">
        <v>70</v>
      </c>
      <c r="B76" s="8" t="s">
        <v>34</v>
      </c>
      <c r="C76" s="10" t="s">
        <v>85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>
        <v>1.8</v>
      </c>
      <c r="AG76" s="11"/>
      <c r="AH76" s="11"/>
      <c r="AI76" s="2">
        <f t="shared" si="0"/>
        <v>1.8</v>
      </c>
    </row>
    <row r="77" spans="1:35" x14ac:dyDescent="0.25">
      <c r="A77" s="26">
        <v>71</v>
      </c>
      <c r="B77" s="8" t="s">
        <v>34</v>
      </c>
      <c r="C77" s="10" t="s">
        <v>86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1.6</v>
      </c>
      <c r="AG77" s="11"/>
      <c r="AH77" s="11"/>
      <c r="AI77" s="2">
        <f t="shared" si="0"/>
        <v>1.6</v>
      </c>
    </row>
    <row r="78" spans="1:35" x14ac:dyDescent="0.25">
      <c r="A78" s="26">
        <v>72</v>
      </c>
      <c r="B78" s="10" t="s">
        <v>87</v>
      </c>
      <c r="C78" s="10" t="s">
        <v>88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>
        <v>0.5</v>
      </c>
      <c r="AG78" s="11"/>
      <c r="AH78" s="11"/>
      <c r="AI78" s="2">
        <f t="shared" si="0"/>
        <v>0.5</v>
      </c>
    </row>
    <row r="79" spans="1:35" x14ac:dyDescent="0.25">
      <c r="A79" s="26">
        <v>73</v>
      </c>
      <c r="B79" s="10" t="s">
        <v>62</v>
      </c>
      <c r="C79" s="44" t="s">
        <v>90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0.8</v>
      </c>
      <c r="AH79" s="11"/>
      <c r="AI79" s="2">
        <f t="shared" si="0"/>
        <v>0.8</v>
      </c>
    </row>
    <row r="80" spans="1:35" x14ac:dyDescent="0.25">
      <c r="A80" s="26">
        <v>74</v>
      </c>
      <c r="B80" s="10" t="s">
        <v>62</v>
      </c>
      <c r="C80" s="10" t="s">
        <v>89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0.7</v>
      </c>
      <c r="AH80" s="11"/>
      <c r="AI80" s="2">
        <f t="shared" si="0"/>
        <v>0.7</v>
      </c>
    </row>
    <row r="81" spans="1:35" x14ac:dyDescent="0.25">
      <c r="A81" s="26">
        <v>75</v>
      </c>
      <c r="B81" s="10" t="s">
        <v>62</v>
      </c>
      <c r="C81" s="10" t="s">
        <v>91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1</v>
      </c>
      <c r="AH81" s="11"/>
      <c r="AI81" s="2">
        <f t="shared" si="0"/>
        <v>1</v>
      </c>
    </row>
    <row r="82" spans="1:35" x14ac:dyDescent="0.25">
      <c r="A82" s="26">
        <v>76</v>
      </c>
      <c r="B82" s="8" t="s">
        <v>34</v>
      </c>
      <c r="C82" s="10" t="s">
        <v>92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>
        <v>2.5</v>
      </c>
      <c r="AI82" s="2">
        <f t="shared" si="0"/>
        <v>2.5</v>
      </c>
    </row>
    <row r="83" spans="1:35" x14ac:dyDescent="0.25">
      <c r="A83" s="26">
        <v>77</v>
      </c>
      <c r="B83" s="8" t="s">
        <v>34</v>
      </c>
      <c r="C83" s="10" t="s">
        <v>93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>
        <v>0.5</v>
      </c>
      <c r="AI83" s="2">
        <f t="shared" si="0"/>
        <v>0.5</v>
      </c>
    </row>
    <row r="84" spans="1:35" x14ac:dyDescent="0.25">
      <c r="A84" s="26">
        <v>78</v>
      </c>
      <c r="B84" s="8" t="s">
        <v>34</v>
      </c>
      <c r="C84" s="10" t="s">
        <v>94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>
        <v>0.9</v>
      </c>
      <c r="AI84" s="2">
        <f t="shared" si="0"/>
        <v>0.9</v>
      </c>
    </row>
    <row r="85" spans="1:35" x14ac:dyDescent="0.25">
      <c r="A85" s="26">
        <v>79</v>
      </c>
      <c r="B85" s="10" t="s">
        <v>62</v>
      </c>
      <c r="C85" s="10" t="s">
        <v>95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>
        <v>1.2</v>
      </c>
      <c r="AI85" s="2">
        <f t="shared" si="0"/>
        <v>1.2</v>
      </c>
    </row>
    <row r="86" spans="1:35" x14ac:dyDescent="0.25">
      <c r="A86" s="26">
        <v>80</v>
      </c>
      <c r="B86" s="10" t="s">
        <v>96</v>
      </c>
      <c r="C86" s="10" t="s">
        <v>97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>
        <v>1</v>
      </c>
      <c r="AI86" s="2">
        <f t="shared" si="0"/>
        <v>1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10.000000000000002</v>
      </c>
      <c r="N107" s="3">
        <f t="shared" si="1"/>
        <v>9</v>
      </c>
      <c r="O107" s="3">
        <f t="shared" si="1"/>
        <v>9.2999999999999989</v>
      </c>
      <c r="P107" s="3">
        <f t="shared" si="1"/>
        <v>0</v>
      </c>
      <c r="Q107" s="3">
        <f t="shared" si="1"/>
        <v>0</v>
      </c>
      <c r="R107" s="3">
        <f t="shared" si="1"/>
        <v>10</v>
      </c>
      <c r="S107" s="3">
        <f t="shared" si="1"/>
        <v>9.2000000000000011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9.0000000000000018</v>
      </c>
      <c r="AC107" s="3">
        <f t="shared" si="1"/>
        <v>9.5</v>
      </c>
      <c r="AD107" s="3">
        <f t="shared" si="1"/>
        <v>9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9.4</v>
      </c>
      <c r="AI107" s="1">
        <f>SUM(D107:AH107)</f>
        <v>210.4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="90" zoomScaleNormal="90" workbookViewId="0">
      <pane xSplit="3" topLeftCell="AF1" activePane="topRight" state="frozen"/>
      <selection pane="topRight" activeCell="AF23" sqref="AF23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5.75" thickBot="1" x14ac:dyDescent="0.3">
      <c r="A7" s="25">
        <v>1</v>
      </c>
      <c r="B7" s="43" t="s">
        <v>107</v>
      </c>
      <c r="C7" s="15" t="s">
        <v>103</v>
      </c>
      <c r="D7" s="13"/>
      <c r="E7" s="5">
        <v>0.8</v>
      </c>
      <c r="F7" s="5"/>
      <c r="G7" s="5"/>
      <c r="H7" s="5"/>
      <c r="I7" s="5">
        <v>6.5</v>
      </c>
      <c r="J7" s="5"/>
      <c r="K7" s="5">
        <v>6</v>
      </c>
      <c r="L7" s="5">
        <v>2</v>
      </c>
      <c r="M7" s="5"/>
      <c r="N7" s="5"/>
      <c r="O7" s="5"/>
      <c r="P7" s="5"/>
      <c r="Q7" s="5"/>
      <c r="R7" s="5">
        <v>5</v>
      </c>
      <c r="S7" s="5">
        <v>2.2999999999999998</v>
      </c>
      <c r="T7" s="5">
        <v>2</v>
      </c>
      <c r="U7" s="5"/>
      <c r="V7" s="5"/>
      <c r="W7" s="5">
        <v>2</v>
      </c>
      <c r="X7" s="5"/>
      <c r="Y7" s="5">
        <v>1</v>
      </c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27.6</v>
      </c>
    </row>
    <row r="8" spans="1:35" x14ac:dyDescent="0.25">
      <c r="A8" s="26">
        <v>2</v>
      </c>
      <c r="B8" s="8" t="s">
        <v>108</v>
      </c>
      <c r="C8" s="15" t="s">
        <v>102</v>
      </c>
      <c r="D8" s="7">
        <v>2</v>
      </c>
      <c r="E8" s="7">
        <v>0.5</v>
      </c>
      <c r="F8" s="7">
        <v>2.2999999999999998</v>
      </c>
      <c r="G8" s="7"/>
      <c r="H8" s="7">
        <v>6.5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2.2000000000000002</v>
      </c>
      <c r="U8" s="7"/>
      <c r="V8" s="7"/>
      <c r="W8" s="7"/>
      <c r="X8" s="7">
        <v>1</v>
      </c>
      <c r="Y8" s="7">
        <v>1</v>
      </c>
      <c r="Z8" s="7">
        <v>2</v>
      </c>
      <c r="AA8" s="7"/>
      <c r="AB8" s="7"/>
      <c r="AC8" s="7">
        <v>3.5</v>
      </c>
      <c r="AD8" s="7">
        <v>1.2</v>
      </c>
      <c r="AE8" s="7"/>
      <c r="AF8" s="7"/>
      <c r="AG8" s="7"/>
      <c r="AH8" s="7"/>
      <c r="AI8" s="2">
        <f t="shared" si="0"/>
        <v>22.2</v>
      </c>
    </row>
    <row r="9" spans="1:35" x14ac:dyDescent="0.25">
      <c r="A9" s="26">
        <v>3</v>
      </c>
      <c r="B9" s="8" t="s">
        <v>109</v>
      </c>
      <c r="C9" s="9" t="s">
        <v>101</v>
      </c>
      <c r="D9" s="7">
        <v>0.5</v>
      </c>
      <c r="E9" s="7">
        <v>0.8</v>
      </c>
      <c r="F9" s="7">
        <v>0.5</v>
      </c>
      <c r="G9" s="7"/>
      <c r="H9" s="7">
        <v>1.2</v>
      </c>
      <c r="I9" s="7">
        <v>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5</v>
      </c>
      <c r="X9" s="7">
        <v>2</v>
      </c>
      <c r="Y9" s="7">
        <v>2</v>
      </c>
      <c r="Z9" s="7">
        <v>3.1</v>
      </c>
      <c r="AA9" s="7">
        <v>3</v>
      </c>
      <c r="AB9" s="7"/>
      <c r="AC9" s="7"/>
      <c r="AD9" s="7"/>
      <c r="AE9" s="7"/>
      <c r="AF9" s="7"/>
      <c r="AG9" s="7"/>
      <c r="AH9" s="7"/>
      <c r="AI9" s="2">
        <f t="shared" si="0"/>
        <v>20.100000000000001</v>
      </c>
    </row>
    <row r="10" spans="1:35" x14ac:dyDescent="0.25">
      <c r="A10" s="26">
        <v>4</v>
      </c>
      <c r="B10" s="8" t="s">
        <v>110</v>
      </c>
      <c r="C10" s="9" t="s">
        <v>100</v>
      </c>
      <c r="D10" s="7">
        <v>1.2</v>
      </c>
      <c r="E10" s="7">
        <v>0.4</v>
      </c>
      <c r="F10" s="7">
        <v>0.8</v>
      </c>
      <c r="G10" s="7"/>
      <c r="H10" s="7">
        <v>1.4</v>
      </c>
      <c r="I10" s="7">
        <v>2.5</v>
      </c>
      <c r="J10" s="7">
        <v>3</v>
      </c>
      <c r="K10" s="7"/>
      <c r="L10" s="7"/>
      <c r="M10" s="7"/>
      <c r="N10" s="7"/>
      <c r="O10" s="7"/>
      <c r="P10" s="7"/>
      <c r="Q10" s="7"/>
      <c r="R10" s="7">
        <v>3</v>
      </c>
      <c r="S10" s="7">
        <v>5</v>
      </c>
      <c r="T10" s="7"/>
      <c r="U10" s="7"/>
      <c r="V10" s="7"/>
      <c r="W10" s="7"/>
      <c r="X10" s="7"/>
      <c r="Y10" s="7"/>
      <c r="Z10" s="7"/>
      <c r="AA10" s="7"/>
      <c r="AB10" s="7"/>
      <c r="AC10" s="7">
        <v>4</v>
      </c>
      <c r="AD10" s="7">
        <v>4</v>
      </c>
      <c r="AE10" s="7"/>
      <c r="AF10" s="7"/>
      <c r="AG10" s="7"/>
      <c r="AH10" s="7"/>
      <c r="AI10" s="2">
        <f t="shared" si="0"/>
        <v>25.3</v>
      </c>
    </row>
    <row r="11" spans="1:35" x14ac:dyDescent="0.25">
      <c r="A11" s="26">
        <v>5</v>
      </c>
      <c r="B11" s="8" t="s">
        <v>111</v>
      </c>
      <c r="C11" s="9" t="s">
        <v>99</v>
      </c>
      <c r="D11" s="7">
        <v>1.3</v>
      </c>
      <c r="E11" s="7">
        <v>0.5</v>
      </c>
      <c r="F11" s="7">
        <v>0.6</v>
      </c>
      <c r="G11" s="7"/>
      <c r="H11" s="7"/>
      <c r="I11" s="7"/>
      <c r="J11" s="7">
        <v>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6</v>
      </c>
      <c r="W11" s="7">
        <v>2</v>
      </c>
      <c r="X11" s="7">
        <v>8</v>
      </c>
      <c r="Y11" s="7">
        <v>5.4</v>
      </c>
      <c r="Z11" s="7">
        <v>4</v>
      </c>
      <c r="AA11" s="7">
        <v>5</v>
      </c>
      <c r="AB11" s="7"/>
      <c r="AC11" s="7"/>
      <c r="AD11" s="7">
        <v>4</v>
      </c>
      <c r="AE11" s="7">
        <v>1</v>
      </c>
      <c r="AF11" s="7"/>
      <c r="AG11" s="7"/>
      <c r="AH11" s="7"/>
      <c r="AI11" s="2">
        <f t="shared" si="0"/>
        <v>46.8</v>
      </c>
    </row>
    <row r="12" spans="1:35" x14ac:dyDescent="0.25">
      <c r="A12" s="26">
        <v>6</v>
      </c>
      <c r="B12" s="8" t="s">
        <v>112</v>
      </c>
      <c r="C12" s="9" t="s">
        <v>98</v>
      </c>
      <c r="D12" s="7">
        <v>0.5</v>
      </c>
      <c r="E12" s="7">
        <v>6.5</v>
      </c>
      <c r="F12" s="7">
        <v>4.8</v>
      </c>
      <c r="G12" s="7"/>
      <c r="H12" s="7">
        <v>0.8</v>
      </c>
      <c r="I12" s="7"/>
      <c r="J12" s="7"/>
      <c r="K12" s="7"/>
      <c r="L12" s="7">
        <v>5.7</v>
      </c>
      <c r="M12" s="7"/>
      <c r="N12" s="7"/>
      <c r="O12" s="7"/>
      <c r="P12" s="7"/>
      <c r="Q12" s="7"/>
      <c r="R12" s="7">
        <v>3</v>
      </c>
      <c r="S12" s="7">
        <v>2</v>
      </c>
      <c r="T12" s="7">
        <v>5</v>
      </c>
      <c r="U12" s="7"/>
      <c r="V12" s="7">
        <v>3.4</v>
      </c>
      <c r="W12" s="7"/>
      <c r="X12" s="7"/>
      <c r="Y12" s="7"/>
      <c r="Z12" s="7"/>
      <c r="AA12" s="7"/>
      <c r="AB12" s="7"/>
      <c r="AC12" s="7">
        <v>1.5</v>
      </c>
      <c r="AD12" s="7"/>
      <c r="AE12" s="7"/>
      <c r="AF12" s="7"/>
      <c r="AG12" s="7"/>
      <c r="AH12" s="7"/>
      <c r="AI12" s="2">
        <f t="shared" si="0"/>
        <v>33.200000000000003</v>
      </c>
    </row>
    <row r="13" spans="1:35" x14ac:dyDescent="0.25">
      <c r="A13" s="26">
        <v>7</v>
      </c>
      <c r="B13" s="10" t="s">
        <v>62</v>
      </c>
      <c r="C13" s="9" t="s">
        <v>104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6">
        <v>8</v>
      </c>
      <c r="B14" s="10" t="s">
        <v>62</v>
      </c>
      <c r="C14" s="9" t="s">
        <v>105</v>
      </c>
      <c r="D14" s="7">
        <v>1.8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1.8</v>
      </c>
    </row>
    <row r="15" spans="1:35" x14ac:dyDescent="0.25">
      <c r="A15" s="26">
        <v>9</v>
      </c>
      <c r="B15" s="10" t="s">
        <v>62</v>
      </c>
      <c r="C15" s="9" t="s">
        <v>106</v>
      </c>
      <c r="D15" s="7">
        <v>1.7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1.7</v>
      </c>
    </row>
    <row r="16" spans="1:35" x14ac:dyDescent="0.25">
      <c r="A16" s="26">
        <v>10</v>
      </c>
      <c r="B16" s="10" t="s">
        <v>62</v>
      </c>
      <c r="C16" s="43" t="s">
        <v>113</v>
      </c>
      <c r="D16" s="7"/>
      <c r="E16" s="7"/>
      <c r="F16" s="7"/>
      <c r="G16" s="7"/>
      <c r="H16" s="7">
        <v>1.1000000000000001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1.1000000000000001</v>
      </c>
    </row>
    <row r="17" spans="1:35" x14ac:dyDescent="0.25">
      <c r="A17" s="26">
        <v>11</v>
      </c>
      <c r="B17" s="10" t="s">
        <v>62</v>
      </c>
      <c r="C17" s="9" t="s">
        <v>116</v>
      </c>
      <c r="D17" s="7"/>
      <c r="E17" s="7"/>
      <c r="F17" s="7"/>
      <c r="G17" s="7"/>
      <c r="H17" s="7"/>
      <c r="I17" s="7"/>
      <c r="J17" s="7"/>
      <c r="K17" s="7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25">
      <c r="A18" s="26">
        <v>12</v>
      </c>
      <c r="B18" s="8" t="s">
        <v>117</v>
      </c>
      <c r="C18" s="9" t="s">
        <v>114</v>
      </c>
      <c r="D18" s="7"/>
      <c r="E18" s="7"/>
      <c r="F18" s="7"/>
      <c r="G18" s="7"/>
      <c r="H18" s="7"/>
      <c r="I18" s="7"/>
      <c r="J18" s="7"/>
      <c r="K18" s="7">
        <v>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8" t="s">
        <v>117</v>
      </c>
      <c r="C19" s="9" t="s">
        <v>115</v>
      </c>
      <c r="D19" s="7"/>
      <c r="E19" s="7"/>
      <c r="F19" s="7"/>
      <c r="G19" s="7"/>
      <c r="H19" s="7"/>
      <c r="I19" s="7"/>
      <c r="J19" s="7"/>
      <c r="K19" s="7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8" t="s">
        <v>118</v>
      </c>
      <c r="C20" s="8" t="s">
        <v>97</v>
      </c>
      <c r="D20" s="7"/>
      <c r="E20" s="7"/>
      <c r="F20" s="7"/>
      <c r="G20" s="7"/>
      <c r="H20" s="7"/>
      <c r="I20" s="7"/>
      <c r="J20" s="7"/>
      <c r="K20" s="7"/>
      <c r="L20" s="7">
        <v>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2</v>
      </c>
    </row>
    <row r="21" spans="1:35" x14ac:dyDescent="0.25">
      <c r="A21" s="26">
        <v>15</v>
      </c>
      <c r="B21" s="8" t="s">
        <v>119</v>
      </c>
      <c r="C21" s="9" t="s">
        <v>121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>
        <v>6</v>
      </c>
      <c r="AF21" s="7">
        <v>7</v>
      </c>
      <c r="AG21" s="7"/>
      <c r="AH21" s="7"/>
      <c r="AI21" s="2">
        <f t="shared" si="0"/>
        <v>13</v>
      </c>
    </row>
    <row r="22" spans="1:35" x14ac:dyDescent="0.25">
      <c r="A22" s="26">
        <v>16</v>
      </c>
      <c r="B22" s="8" t="s">
        <v>120</v>
      </c>
      <c r="C22" s="43" t="s">
        <v>122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>
        <v>4</v>
      </c>
      <c r="AF22" s="7">
        <v>4.5</v>
      </c>
      <c r="AG22" s="7"/>
      <c r="AH22" s="7"/>
      <c r="AI22" s="2">
        <f t="shared" si="0"/>
        <v>8.5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9.5</v>
      </c>
      <c r="F107" s="12">
        <f t="shared" si="1"/>
        <v>9</v>
      </c>
      <c r="G107" s="3">
        <f t="shared" si="1"/>
        <v>0</v>
      </c>
      <c r="H107" s="3">
        <f t="shared" si="1"/>
        <v>11</v>
      </c>
      <c r="I107" s="3">
        <f t="shared" si="1"/>
        <v>11</v>
      </c>
      <c r="J107" s="3">
        <f t="shared" si="1"/>
        <v>12</v>
      </c>
      <c r="K107" s="3">
        <f t="shared" si="1"/>
        <v>9</v>
      </c>
      <c r="L107" s="3">
        <f t="shared" si="1"/>
        <v>9.6999999999999993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11</v>
      </c>
      <c r="S107" s="3">
        <f t="shared" si="1"/>
        <v>9.3000000000000007</v>
      </c>
      <c r="T107" s="3">
        <f t="shared" si="1"/>
        <v>9.1999999999999993</v>
      </c>
      <c r="U107" s="3">
        <f t="shared" si="1"/>
        <v>0</v>
      </c>
      <c r="V107" s="3">
        <f t="shared" si="1"/>
        <v>9.4</v>
      </c>
      <c r="W107" s="3">
        <f t="shared" si="1"/>
        <v>9</v>
      </c>
      <c r="X107" s="3">
        <f t="shared" si="1"/>
        <v>11</v>
      </c>
      <c r="Y107" s="3">
        <f t="shared" si="1"/>
        <v>9.4</v>
      </c>
      <c r="Z107" s="3">
        <f t="shared" si="1"/>
        <v>9.1</v>
      </c>
      <c r="AA107" s="3">
        <f t="shared" si="1"/>
        <v>8</v>
      </c>
      <c r="AB107" s="3">
        <f t="shared" si="1"/>
        <v>0</v>
      </c>
      <c r="AC107" s="3">
        <f t="shared" si="1"/>
        <v>9</v>
      </c>
      <c r="AD107" s="3">
        <f t="shared" si="1"/>
        <v>9.1999999999999993</v>
      </c>
      <c r="AE107" s="3">
        <f t="shared" si="1"/>
        <v>11</v>
      </c>
      <c r="AF107" s="3">
        <f t="shared" si="1"/>
        <v>11.5</v>
      </c>
      <c r="AG107" s="3">
        <f t="shared" si="1"/>
        <v>0</v>
      </c>
      <c r="AH107" s="3">
        <f t="shared" si="1"/>
        <v>0</v>
      </c>
      <c r="AI107" s="1">
        <f>SUM(D107:AH107)</f>
        <v>206.8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61" zoomScale="70" zoomScaleNormal="70" workbookViewId="0">
      <pane xSplit="3" topLeftCell="AA1" activePane="topRight" state="frozen"/>
      <selection pane="topRight" activeCell="B7" sqref="B7:AH42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67" zoomScale="70" zoomScaleNormal="70" workbookViewId="0">
      <pane xSplit="3" topLeftCell="AA1" activePane="topRight" state="frozen"/>
      <selection pane="topRight" activeCell="B7" sqref="B7:AH38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9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85" zoomScaleNormal="85" workbookViewId="0">
      <pane xSplit="3" topLeftCell="AF1" activePane="topRight" state="frozen"/>
      <selection pane="topRight" activeCell="B7" sqref="B7:AH32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82" zoomScale="85" zoomScaleNormal="85" workbookViewId="0">
      <pane xSplit="3" topLeftCell="AF1" activePane="topRight" state="frozen"/>
      <selection pane="topRight" activeCell="B7" sqref="B7:AH33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85" zoomScaleNormal="85" workbookViewId="0">
      <pane xSplit="3" topLeftCell="AF1" activePane="topRight" state="frozen"/>
      <selection pane="topRight" activeCell="B7" sqref="B7:AH37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/>
      <c r="C7" s="9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9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2" zoomScale="85" zoomScaleNormal="85" workbookViewId="0">
      <pane xSplit="3" topLeftCell="AF1" activePane="topRight" state="frozen"/>
      <selection pane="topRight" activeCell="B7" sqref="B7:AH28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85" zoomScaleNormal="85" workbookViewId="0">
      <pane xSplit="3" topLeftCell="AF1" activePane="topRight" state="frozen"/>
      <selection pane="topRight" activeCell="B7" sqref="B7:AH30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70" zoomScaleNormal="70" workbookViewId="0">
      <pane xSplit="3" topLeftCell="AA1" activePane="topRight" state="frozen"/>
      <selection pane="topRight" activeCell="B7" sqref="B7:AH34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42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0" zoomScale="70" zoomScaleNormal="70" workbookViewId="0">
      <pane xSplit="3" topLeftCell="AB1" activePane="topRight" state="frozen"/>
      <selection pane="topRight" activeCell="B7" sqref="B7:AH28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70" zoomScaleNormal="70" workbookViewId="0">
      <pane xSplit="3" topLeftCell="AD1" activePane="topRight" state="frozen"/>
      <selection pane="topRight" activeCell="AE39" sqref="AE39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rno</cp:lastModifiedBy>
  <cp:lastPrinted>2019-09-02T12:03:42Z</cp:lastPrinted>
  <dcterms:created xsi:type="dcterms:W3CDTF">2018-05-03T18:37:11Z</dcterms:created>
  <dcterms:modified xsi:type="dcterms:W3CDTF">2024-02-29T23:29:06Z</dcterms:modified>
</cp:coreProperties>
</file>