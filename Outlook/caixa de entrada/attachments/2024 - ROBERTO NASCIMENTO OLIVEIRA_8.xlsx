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xr:revisionPtr revIDLastSave="0" documentId="13_ncr:1_{D287F3AE-8BFC-4155-973A-89CBB41BB18B}" xr6:coauthVersionLast="47" xr6:coauthVersionMax="47" xr10:uidLastSave="{00000000-0000-0000-0000-000000000000}"/>
  <workbookProtection workbookPassword="CF6C" lockStructure="1"/>
  <bookViews>
    <workbookView xWindow="28680" yWindow="-120" windowWidth="29040" windowHeight="15720" tabRatio="798" activeTab="6" xr2:uid="{00000000-000D-0000-FFFF-FFFF00000000}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<sst xmlns="http://schemas.openxmlformats.org/spreadsheetml/2006/main" count="582" uniqueCount="285">
  <si>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</si>
  <si>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</si>
  <si>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</si>
  <si>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</si>
  <si>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</si>
  <si>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</si>
  <si>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</si>
  <si>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</si>
  <si>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</si>
  <si>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</si>
  <si>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</si>
  <si>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</si>
  <si>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</si>
  <si>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</si>
  <si>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</si>
  <si>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</si>
  <si>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</si>
  <si>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</si>
  <si>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</si>
  <si>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</si>
  <si>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</si>
  <si>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</si>
  <si>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</si>
  <si>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</si>
  <si>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</si>
  <si>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</si>
  <si>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</si>
  <si>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</si>
  <si>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</si>
  <si>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</si>
  <si>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</si>
  <si>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</si>
  <si>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</si>
  <si>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</si>
  <si>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</si>
  <si>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</si>
  <si>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</si>
  <si>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</si>
  <si>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</si>
  <si>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</si>
  <si>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</si>
  <si>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</si>
  <si>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</si>
  <si>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</si>
  <si>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</si>
  <si>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</si>
  <si>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</si>
  <si>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</si>
  <si>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</si>
  <si>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</si>
  <si>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</si>
  <si>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</si>
  <si>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</si>
  <si>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</si>
  <si>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</si>
  <si>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</si>
  <si>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</si>
  <si>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</si>
  <si>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</si>
  <si>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</si>
  <si>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</si>
  <si>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</si>
  <si>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</si>
  <si>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</si>
  <si>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</si>
  <si>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</si>
  <si>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</si>
  <si>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</si>
  <si>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</si>
  <si>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</si>
  <si>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</si>
  <si>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</si>
  <si>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</si>
  <si>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</si>
  <si>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</si>
  <si>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</si>
  <si>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</si>
  <si>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</si>
  <si>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</si>
  <si>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</si>
  <si>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</si>
  <si>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</si>
  <si>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</si>
  <si>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</si>
  <si>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</si>
  <si>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</si>
  <si>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</si>
  <si>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</si>
  <si>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</si>
  <si>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</si>
  <si>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</si>
  <si>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</si>
  <si>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</si>
  <si>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</si>
  <si>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</si>
  <si>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</si>
  <si>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</si>
  <si>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</si>
  <si>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</si>
  <si>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</si>
  <si>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</si>
  <si>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</si>
  <si>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</si>
  <si>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</si>
  <si>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</si>
  <si>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</si>
  <si>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</si>
  <si>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</si>
  <si>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</si>
  <si>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</si>
  <si>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</si>
  <si>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</si>
  <si>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</si>
  <si>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</si>
  <si>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</si>
  <si>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</si>
  <si>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</si>
  <si>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</si>
  <si>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</si>
  <si>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</si>
  <si>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</si>
  <si>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</si>
  <si>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</si>
  <si>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</si>
  <si>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</si>
  <si>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</si>
  <si>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</si>
  <si>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</si>
  <si>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</si>
  <si>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</si>
  <si>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</si>
  <si>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</si>
  <si>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</si>
  <si>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</si>
  <si>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</si>
  <si>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</si>
  <si>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</si>
  <si>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</si>
  <si>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</si>
  <si>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</si>
  <si>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</si>
  <si>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</si>
  <si>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</si>
  <si>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</si>
  <si>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</si>
  <si>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</si>
  <si>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</si>
  <si>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</si>
  <si>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</si>
  <si>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</si>
  <si>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</si>
  <si>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</si>
  <si>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</si>
  <si>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</si>
  <si>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</si>
  <si>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</si>
  <si>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</si>
  <si>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</si>
  <si>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</si>
  <si>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</si>
  <si>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</si>
  <si>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</si>
  <si>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</si>
  <si>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</si>
  <si>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</si>
  <si>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</si>
  <si>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</si>
  <si>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</si>
  <si>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</si>
  <si>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</si>
  <si>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</si>
  <si>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</si>
  <si>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</si>
  <si>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</si>
  <si>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</si>
  <si>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</si>
  <si>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</si>
  <si>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</si>
  <si>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</si>
  <si>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</si>
  <si>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</si>
  <si>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</si>
  <si>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</si>
  <si>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</si>
  <si>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</si>
  <si>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</si>
  <si>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</si>
  <si>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</si>
  <si>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</si>
  <si>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</si>
  <si>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</si>
  <si>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</si>
  <si>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</si>
  <si>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</si>
  <si>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</si>
  <si>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</si>
  <si>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</si>
  <si>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</si>
  <si>
    <t>SE EUNAPOLIS 230kV 04N1 INTERLIGAÇÃO</t>
  </si>
  <si>
    <t>Hersa-Poções II e Igaporã II-SE Igaporã II-Executivo-Elétrica-Diagrama de Interligação Serviços Auxiliares--</t>
  </si>
  <si>
    <t>SE PORÇÕES II 230kV 4UA8 INTERLIGAÇÃO</t>
  </si>
  <si>
    <t>SE PORÇÕES II SERVIÇO AUXILIAR</t>
  </si>
  <si>
    <t>SE CAMPINA GRANDE II 69kV VÃO T</t>
  </si>
  <si>
    <t>SE CAMPINA GRANDE II 69kV 02J7</t>
  </si>
  <si>
    <t>SE CAMPINA GRANDE II 69kV 02N1</t>
  </si>
  <si>
    <t>Siemens-PG 3881-SJI-Executivo-Elétrico-Setor 500kV--</t>
  </si>
  <si>
    <t>SE SÃO JOÃO DO PIAUÍ</t>
  </si>
  <si>
    <t>Siemens-PG 4121-TAC-Executivo-Elétrico-Setor 230kV--</t>
  </si>
  <si>
    <t>SE TACAIMBÓ 230kV 04T1</t>
  </si>
  <si>
    <t>SE CAMPINA GRANDE II 69kV VÃO PCPG</t>
  </si>
  <si>
    <t>SE CAMPINA GRANDE II 69kV 02A1</t>
  </si>
  <si>
    <t>SE AÇU II 230kV 04T3 FUNCIONAL</t>
  </si>
  <si>
    <t>Siemens-PG 1023-MSR-Executivo-Elétrico-Serv. Auxiliares--</t>
  </si>
  <si>
    <t>SE MUSSURÉ II SERVIÇOS AUXILIARES</t>
  </si>
  <si>
    <t>Siemens-PG 3881-DMG-Executivo-Elétrico-Setor 230kV--</t>
  </si>
  <si>
    <t>SE DELMIRO GOVEIA 230kV 04F4</t>
  </si>
  <si>
    <t>Power China-UFV Mauriti-SE Mauriti-Executivo-Elétrico-Unifilares de Serviços Auxiliares--</t>
  </si>
  <si>
    <t>SE MAURITÍ SERVIÇOS AUXILIARES</t>
  </si>
  <si>
    <t>SE MUSURÉ 69kV 02J2</t>
  </si>
  <si>
    <t>Siemens-PG 2900-CTG-Executivo-Elétrico-Conforme Construído--</t>
  </si>
  <si>
    <t>SE DELMIRO GOVEIA 230kV 04F5</t>
  </si>
  <si>
    <t>SE MUSURÉ 69kV 02T1</t>
  </si>
  <si>
    <t>SE COTEGIPE CONFORME CONSTRUÍDO</t>
  </si>
  <si>
    <t>SE MUSURÉ 69kV 02T3</t>
  </si>
  <si>
    <t>SE MUSURÉ 230kV 04T1</t>
  </si>
  <si>
    <t>SE MUSURÉ 230kV 04T2</t>
  </si>
  <si>
    <t>SE MUSURÉ 69kV 02T2</t>
  </si>
  <si>
    <t>Siemens-PG 4121-TAC-Executivo-Elétrico-Setor 69kV--</t>
  </si>
  <si>
    <t>SE TACAIMBÓ 69kV 02T1</t>
  </si>
  <si>
    <t>SE MUSSURÉ 230kV 04D1</t>
  </si>
  <si>
    <t>SE MUSSURÉ 69kV 02A1</t>
  </si>
  <si>
    <t>SE DELMIRO GOUVEIA 230kV 04F4</t>
  </si>
  <si>
    <t>SE MUSSURÉ 230kV 04F1</t>
  </si>
  <si>
    <t>SE MUSSURÉ 69kV 02T5</t>
  </si>
  <si>
    <t>SE MUSSURÉ 69kV 02T2</t>
  </si>
  <si>
    <t>SE MUSSURÉ 69kV 02T3</t>
  </si>
  <si>
    <t>SE MUSSURÉ 230kV 04F2</t>
  </si>
  <si>
    <t>Hersa-Eunapolis BC_REA-SE Eunápolis-Executivo-Elétrico-Diagrama Unifilar de Serviços Auxiliares--</t>
  </si>
  <si>
    <t>SE PORÇÕES II SERVIÇOS AUXILIARES</t>
  </si>
  <si>
    <t>SE TACAIMBÓ 69kV 02V2</t>
  </si>
  <si>
    <t>SE MUSSURÉ II 69kV 02J2</t>
  </si>
  <si>
    <t>Siemens-PG 1023-ACD-Executivo-Elétrico-Serv. Auxiliares--</t>
  </si>
  <si>
    <t>SE AÇU II SERVIÇO AUXILIAR</t>
  </si>
  <si>
    <t>SE TACAIMBÓ 230kV 04C1</t>
  </si>
  <si>
    <t>SE TACAIMBÓ 69kV 02T5</t>
  </si>
  <si>
    <t>MANUTENÇÃO SERVIDOR</t>
  </si>
  <si>
    <t>SE DELMIRO GOLVEIA UNIDADE DE CONTROLE</t>
  </si>
  <si>
    <t>SE MUSSURÉ II 230kV 04T1</t>
  </si>
  <si>
    <t>SE TACAIMBÓ 69kV 02V1</t>
  </si>
  <si>
    <t>Siemens-PG 3881-FTZ-Executivo-Elétrico-Setor 230kV--</t>
  </si>
  <si>
    <t>SE FORTALEZA 230kV 04T2</t>
  </si>
  <si>
    <t>ANIVERSÁRIO INTEREST</t>
  </si>
  <si>
    <t>Siemens-PG 4121-AGD-Executivo-Elétrico-Setor 500kV--</t>
  </si>
  <si>
    <t>SE ANGELIM II 500kV 05L6/05L9</t>
  </si>
  <si>
    <t>SE FORTALEZA 230kV 04T3</t>
  </si>
  <si>
    <t>SE FORTALEZA 230kV 04T1</t>
  </si>
  <si>
    <t>SE FORTALEZA 230kV 04T4</t>
  </si>
  <si>
    <t>SE TACAIMBÓ 230kV 04D1</t>
  </si>
  <si>
    <t>Angelim - 05L5/05D2/05L3</t>
  </si>
  <si>
    <t>Siemens-PG 4121-MRR-Executivo-Elétrico-Setor 69kV--</t>
  </si>
  <si>
    <t>SE MIRUEIRA 69kV 02A2</t>
  </si>
  <si>
    <t>Siemens-PG 3881-DMG-Executivo-Elétrico-Setor 69kV--</t>
  </si>
  <si>
    <t>SE DELMIRO GOUVEIA 69kV 02T5</t>
  </si>
  <si>
    <t>Siemens-PG 4121-TAC-Executivo-Elétrico-Serv. Auxiliares--</t>
  </si>
  <si>
    <t>SE TACAIMBÓ SERVIÇO AUXILIAR</t>
  </si>
  <si>
    <t>SE TACAIMBÓ 230kV 04M6</t>
  </si>
  <si>
    <t>SE TACAIMBÓ 230kV 04M5</t>
  </si>
  <si>
    <t>SE TACAIMBÓ 230kV 04M4</t>
  </si>
  <si>
    <t>Power China-UFV Mauriti-SE Mauriti-Executivo-Elétrico-Disposição das Aparelhagens--</t>
  </si>
  <si>
    <t>SE MAURITI DISPOSIÇÃO DE APARELHAGEM</t>
  </si>
  <si>
    <t>SE TACAIMBÓ 69kV 02A2</t>
  </si>
  <si>
    <t>Siemens-PG 3881-MSD-Executivo-Elétrico-Setor 69kV--</t>
  </si>
  <si>
    <t>SE MOSSORÓ 69kV 02J4</t>
  </si>
  <si>
    <t>SE TACAIMBÓ 230kV 04T3</t>
  </si>
  <si>
    <t>SE MOSSORÓ 69kV 02S2</t>
  </si>
  <si>
    <t>SE MOSSORÓ 69kV 02J2</t>
  </si>
  <si>
    <t>SE TACAIMBÓ SERVIÇOS AUXILIARES</t>
  </si>
  <si>
    <t>SE DELMIRO GOUVEIA 230kV 04T2</t>
  </si>
  <si>
    <t>SE DELMIRO GOUVEIA 230kV 04T3</t>
  </si>
  <si>
    <t>GE GRID-CE Serra do Tigre-SE Santa Luzia II-Executivo-Eletromec.-Conforme Construído--</t>
  </si>
  <si>
    <t>SE SERRA DO TIGRE 500kV CAIXA DE JUNÇÃO DE TCs</t>
  </si>
  <si>
    <t>SE DELMIRO GOUVEIA 230kV 04D1</t>
  </si>
  <si>
    <t>SE TACAIMBÓ 13,8kV 01T5</t>
  </si>
  <si>
    <t>Neoenergia-Lote II-Lagos-Executivo-Elétrico-Conforme Construído--</t>
  </si>
  <si>
    <t>SE LAGOS 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</si>
</sst>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4" zoomScaleNormal="100" workbookViewId="0">
      <pane xSplit="3" topLeftCell="X1" activePane="topRight" state="frozen"/>
      <selection pane="topRight" activeCell="B32" sqref="B3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5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5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5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5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5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5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5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5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5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5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5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5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5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5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5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5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5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5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5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5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5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5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5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5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5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5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5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5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5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5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5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5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5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5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5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5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5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5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5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5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5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5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5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5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5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5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5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5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5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5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5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5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5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5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5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5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5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5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5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5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5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5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5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5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5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5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5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5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5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5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5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5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5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5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5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5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5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7"/>
  <sheetViews>
    <sheetView zoomScale="90" zoomScaleNormal="90" workbookViewId="0">
      <pane xSplit="3" topLeftCell="AF1" activePane="topRight" state="frozen"/>
      <selection pane="topRight" activeCell="B21" sqref="B21:B2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4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5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5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5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5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5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5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5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5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5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5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5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5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5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5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7"/>
  <sheetViews>
    <sheetView topLeftCell="A10" zoomScale="115" zoomScaleNormal="115" workbookViewId="0">
      <pane xSplit="3" topLeftCell="AD1" activePane="topRight" state="frozen"/>
      <selection pane="topRight" activeCell="B17" sqref="B17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5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5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5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5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5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5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5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5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5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5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5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5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5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5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5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5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5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5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5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5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"/>
  <sheetViews>
    <sheetView topLeftCell="A37" zoomScale="115" zoomScaleNormal="115" workbookViewId="0">
      <pane xSplit="3" topLeftCell="AF1" activePane="topRight" state="frozen"/>
      <selection pane="topRight" activeCell="B35" sqref="B35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35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5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5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35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35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35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5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35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35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5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35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35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35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35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35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35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35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35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35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35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35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35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35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35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35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35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35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35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35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35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35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35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35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35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35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35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35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35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35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35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35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35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35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35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35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5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35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35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35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35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35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35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35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35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35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35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35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7"/>
  <sheetViews>
    <sheetView zoomScale="85" zoomScaleNormal="85" workbookViewId="0">
      <pane xSplit="3" topLeftCell="AH1" activePane="topRight" state="frozen"/>
      <selection pane="topRight" activeCell="B17" sqref="B17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139</v>
      </c>
      <c r="C7" s="4" t="s">
        <v>168</v>
      </c>
      <c r="D7" s="13"/>
      <c r="E7" s="5">
        <v>2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0.5</v>
      </c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35">
      <c r="A8" s="26">
        <v>2</v>
      </c>
      <c r="B8" s="8" t="s">
        <v>139</v>
      </c>
      <c r="C8" s="6" t="s">
        <v>192</v>
      </c>
      <c r="D8" s="7"/>
      <c r="E8" s="7">
        <v>2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4</v>
      </c>
    </row>
    <row r="9" spans="1:35" x14ac:dyDescent="0.35">
      <c r="A9" s="26">
        <v>3</v>
      </c>
      <c r="B9" s="8" t="s">
        <v>139</v>
      </c>
      <c r="C9" s="6" t="s">
        <v>190</v>
      </c>
      <c r="D9" s="7"/>
      <c r="E9" s="7">
        <v>7</v>
      </c>
      <c r="F9" s="7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12</v>
      </c>
    </row>
    <row r="10" spans="1:35" x14ac:dyDescent="0.35">
      <c r="A10" s="26">
        <v>4</v>
      </c>
      <c r="B10" s="10" t="s">
        <v>46</v>
      </c>
      <c r="C10" s="6" t="s">
        <v>198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35">
      <c r="A11" s="26">
        <v>5</v>
      </c>
      <c r="B11" s="8" t="s">
        <v>199</v>
      </c>
      <c r="C11" s="9" t="s">
        <v>201</v>
      </c>
      <c r="D11" s="7"/>
      <c r="E11" s="7"/>
      <c r="F11" s="7"/>
      <c r="G11" s="7"/>
      <c r="H11" s="7"/>
      <c r="I11" s="7">
        <v>4</v>
      </c>
      <c r="J11" s="7">
        <v>6</v>
      </c>
      <c r="K11" s="7">
        <v>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13</v>
      </c>
    </row>
    <row r="12" spans="1:35" x14ac:dyDescent="0.35">
      <c r="A12" s="26">
        <v>6</v>
      </c>
      <c r="B12" s="8" t="s">
        <v>199</v>
      </c>
      <c r="C12" s="9" t="s">
        <v>200</v>
      </c>
      <c r="D12" s="7"/>
      <c r="E12" s="7"/>
      <c r="F12" s="7"/>
      <c r="G12" s="7"/>
      <c r="H12" s="7"/>
      <c r="I12" s="7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35">
      <c r="A13" s="26">
        <v>7</v>
      </c>
      <c r="B13" s="8" t="s">
        <v>175</v>
      </c>
      <c r="C13" s="6" t="s">
        <v>202</v>
      </c>
      <c r="D13" s="7"/>
      <c r="E13" s="7"/>
      <c r="F13" s="7"/>
      <c r="G13" s="7"/>
      <c r="H13" s="7"/>
      <c r="I13" s="7">
        <v>1</v>
      </c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5">
      <c r="A14" s="26">
        <v>8</v>
      </c>
      <c r="B14" s="8" t="s">
        <v>175</v>
      </c>
      <c r="C14" s="6" t="s">
        <v>204</v>
      </c>
      <c r="D14" s="7"/>
      <c r="E14" s="7"/>
      <c r="F14" s="7"/>
      <c r="G14" s="7"/>
      <c r="H14" s="7"/>
      <c r="I14" s="7">
        <v>1.5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5">
      <c r="A15" s="26">
        <v>9</v>
      </c>
      <c r="B15" s="8" t="s">
        <v>175</v>
      </c>
      <c r="C15" s="9" t="s">
        <v>203</v>
      </c>
      <c r="D15" s="7"/>
      <c r="E15" s="7"/>
      <c r="F15" s="7"/>
      <c r="G15" s="7"/>
      <c r="H15" s="7"/>
      <c r="I15" s="7">
        <v>1.5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35">
      <c r="A16" s="26">
        <v>10</v>
      </c>
      <c r="B16" s="8" t="s">
        <v>205</v>
      </c>
      <c r="C16" s="8" t="s">
        <v>206</v>
      </c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35">
      <c r="A17" s="26">
        <v>11</v>
      </c>
      <c r="B17" s="8" t="s">
        <v>207</v>
      </c>
      <c r="C17" s="9" t="s">
        <v>208</v>
      </c>
      <c r="D17" s="7"/>
      <c r="E17" s="7"/>
      <c r="F17" s="7"/>
      <c r="G17" s="7"/>
      <c r="H17" s="7"/>
      <c r="I17" s="7"/>
      <c r="J17" s="7"/>
      <c r="K17" s="7">
        <v>2</v>
      </c>
      <c r="L17" s="7">
        <v>4</v>
      </c>
      <c r="M17" s="7">
        <v>9.5</v>
      </c>
      <c r="N17" s="7"/>
      <c r="O17" s="7"/>
      <c r="P17" s="7">
        <v>9</v>
      </c>
      <c r="Q17" s="7">
        <v>9</v>
      </c>
      <c r="R17" s="7">
        <v>8.4</v>
      </c>
      <c r="S17" s="7">
        <v>5</v>
      </c>
      <c r="T17" s="7">
        <v>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50.9</v>
      </c>
    </row>
    <row r="18" spans="1:35" x14ac:dyDescent="0.35">
      <c r="A18" s="26">
        <v>12</v>
      </c>
      <c r="B18" s="8" t="s">
        <v>175</v>
      </c>
      <c r="C18" s="6" t="s">
        <v>209</v>
      </c>
      <c r="D18" s="7"/>
      <c r="E18" s="7"/>
      <c r="F18" s="7"/>
      <c r="G18" s="7"/>
      <c r="H18" s="7"/>
      <c r="I18" s="7"/>
      <c r="J18" s="7"/>
      <c r="K18" s="7">
        <v>2</v>
      </c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6</v>
      </c>
    </row>
    <row r="19" spans="1:35" x14ac:dyDescent="0.35">
      <c r="A19" s="26">
        <v>13</v>
      </c>
      <c r="B19" s="8" t="s">
        <v>175</v>
      </c>
      <c r="C19" s="9" t="s">
        <v>210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5">
      <c r="A20" s="26">
        <v>14</v>
      </c>
      <c r="B20" s="8" t="s">
        <v>139</v>
      </c>
      <c r="C20" s="9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0.6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0.6</v>
      </c>
    </row>
    <row r="21" spans="1:35" x14ac:dyDescent="0.35">
      <c r="A21" s="26">
        <v>15</v>
      </c>
      <c r="B21" s="8" t="s">
        <v>212</v>
      </c>
      <c r="C21" s="9" t="s">
        <v>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4</v>
      </c>
      <c r="T21" s="7">
        <v>1</v>
      </c>
      <c r="U21" s="7"/>
      <c r="V21" s="7"/>
      <c r="W21" s="7"/>
      <c r="X21" s="7">
        <v>3</v>
      </c>
      <c r="Y21" s="7">
        <v>0.5</v>
      </c>
      <c r="Z21" s="7">
        <v>4</v>
      </c>
      <c r="AA21" s="7">
        <v>0.5</v>
      </c>
      <c r="AB21" s="7"/>
      <c r="AC21" s="7"/>
      <c r="AD21" s="7"/>
      <c r="AE21" s="7">
        <v>1</v>
      </c>
      <c r="AF21" s="7"/>
      <c r="AG21" s="7"/>
      <c r="AH21" s="7">
        <v>0.5</v>
      </c>
      <c r="AI21" s="2">
        <f t="shared" si="0"/>
        <v>14.5</v>
      </c>
    </row>
    <row r="22" spans="1:35" x14ac:dyDescent="0.35">
      <c r="A22" s="26">
        <v>16</v>
      </c>
      <c r="B22" s="8" t="s">
        <v>214</v>
      </c>
      <c r="C22" s="8" t="s">
        <v>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4</v>
      </c>
      <c r="U22" s="7"/>
      <c r="V22" s="7"/>
      <c r="W22" s="7">
        <v>8</v>
      </c>
      <c r="X22" s="7">
        <v>6</v>
      </c>
      <c r="Y22" s="7">
        <v>8</v>
      </c>
      <c r="Z22" s="7">
        <v>4</v>
      </c>
      <c r="AA22" s="7">
        <v>7</v>
      </c>
      <c r="AB22" s="7"/>
      <c r="AC22" s="7"/>
      <c r="AD22" s="7">
        <v>1</v>
      </c>
      <c r="AE22" s="7"/>
      <c r="AF22" s="7"/>
      <c r="AG22" s="7"/>
      <c r="AH22" s="7"/>
      <c r="AI22" s="2">
        <f t="shared" si="0"/>
        <v>38</v>
      </c>
    </row>
    <row r="23" spans="1:35" x14ac:dyDescent="0.35">
      <c r="A23" s="26">
        <v>17</v>
      </c>
      <c r="B23" s="8" t="s">
        <v>216</v>
      </c>
      <c r="C23" s="8" t="s">
        <v>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2">
        <v>1</v>
      </c>
      <c r="X23" s="7"/>
      <c r="Y23" s="7">
        <v>0.5</v>
      </c>
      <c r="Z23" s="7">
        <v>1</v>
      </c>
      <c r="AA23" s="7">
        <v>1</v>
      </c>
      <c r="AB23" s="7"/>
      <c r="AC23" s="7"/>
      <c r="AD23" s="7">
        <v>0.5</v>
      </c>
      <c r="AE23" s="7"/>
      <c r="AF23" s="7"/>
      <c r="AG23" s="7"/>
      <c r="AH23" s="7"/>
      <c r="AI23" s="2">
        <f t="shared" si="0"/>
        <v>4</v>
      </c>
    </row>
    <row r="24" spans="1:35" x14ac:dyDescent="0.35">
      <c r="A24" s="26">
        <v>18</v>
      </c>
      <c r="B24" s="8" t="s">
        <v>214</v>
      </c>
      <c r="C24" s="9" t="s">
        <v>220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7</v>
      </c>
      <c r="AE24" s="7">
        <v>2</v>
      </c>
      <c r="AF24" s="7"/>
      <c r="AG24" s="7"/>
      <c r="AH24" s="7"/>
      <c r="AI24" s="2">
        <f t="shared" si="0"/>
        <v>9</v>
      </c>
    </row>
    <row r="25" spans="1:35" x14ac:dyDescent="0.35">
      <c r="A25" s="26">
        <v>19</v>
      </c>
      <c r="B25" s="9" t="s">
        <v>115</v>
      </c>
      <c r="C25" s="6" t="s">
        <v>218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0.5</v>
      </c>
      <c r="AE25" s="7"/>
      <c r="AF25" s="7">
        <v>0.5</v>
      </c>
      <c r="AG25" s="7">
        <v>3.5</v>
      </c>
      <c r="AH25" s="7"/>
      <c r="AI25" s="2">
        <f t="shared" si="0"/>
        <v>4.5</v>
      </c>
    </row>
    <row r="26" spans="1:35" x14ac:dyDescent="0.35">
      <c r="A26" s="26">
        <v>20</v>
      </c>
      <c r="B26" s="9" t="s">
        <v>219</v>
      </c>
      <c r="C26" s="6" t="s">
        <v>222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>
        <v>6</v>
      </c>
      <c r="AF26" s="7">
        <v>2</v>
      </c>
      <c r="AG26" s="7">
        <v>2</v>
      </c>
      <c r="AH26" s="7">
        <v>0.5</v>
      </c>
      <c r="AI26" s="2">
        <f t="shared" si="0"/>
        <v>10.5</v>
      </c>
    </row>
    <row r="27" spans="1:35" x14ac:dyDescent="0.35">
      <c r="A27" s="26">
        <v>21</v>
      </c>
      <c r="B27" s="9" t="s">
        <v>115</v>
      </c>
      <c r="C27" s="6" t="s">
        <v>221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>
        <v>1</v>
      </c>
      <c r="AF27" s="7">
        <v>2</v>
      </c>
      <c r="AG27" s="7">
        <v>1</v>
      </c>
      <c r="AH27" s="7"/>
      <c r="AI27" s="2">
        <f t="shared" si="0"/>
        <v>4</v>
      </c>
    </row>
    <row r="28" spans="1:35" x14ac:dyDescent="0.35">
      <c r="A28" s="26">
        <v>22</v>
      </c>
      <c r="B28" s="9" t="s">
        <v>115</v>
      </c>
      <c r="C28" s="9" t="s">
        <v>223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>
        <v>1</v>
      </c>
      <c r="AG28" s="7">
        <v>3</v>
      </c>
      <c r="AH28" s="7">
        <v>2.5</v>
      </c>
      <c r="AI28" s="2">
        <f t="shared" si="0"/>
        <v>6.5</v>
      </c>
    </row>
    <row r="29" spans="1:35" x14ac:dyDescent="0.35">
      <c r="A29" s="26">
        <v>23</v>
      </c>
      <c r="B29" s="9" t="s">
        <v>123</v>
      </c>
      <c r="C29" s="9" t="s">
        <v>224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1</v>
      </c>
      <c r="AG29" s="7"/>
      <c r="AH29" s="7">
        <v>3</v>
      </c>
      <c r="AI29" s="2">
        <f t="shared" si="0"/>
        <v>4</v>
      </c>
    </row>
    <row r="30" spans="1:35" x14ac:dyDescent="0.35">
      <c r="A30" s="26">
        <v>24</v>
      </c>
      <c r="B30" s="9" t="s">
        <v>123</v>
      </c>
      <c r="C30" s="6" t="s">
        <v>225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/>
      <c r="AH30" s="7">
        <v>3</v>
      </c>
      <c r="AI30" s="2">
        <f t="shared" si="0"/>
        <v>5.5</v>
      </c>
    </row>
    <row r="31" spans="1:35" x14ac:dyDescent="0.35">
      <c r="A31" s="26">
        <v>25</v>
      </c>
      <c r="B31" s="9" t="s">
        <v>115</v>
      </c>
      <c r="C31" s="6" t="s">
        <v>226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>
        <v>2.5</v>
      </c>
      <c r="AG31" s="7"/>
      <c r="AH31" s="7"/>
      <c r="AI31" s="2">
        <f t="shared" si="0"/>
        <v>2.5</v>
      </c>
    </row>
    <row r="32" spans="1:35" x14ac:dyDescent="0.35">
      <c r="A32" s="26">
        <v>26</v>
      </c>
      <c r="B32" s="8" t="s">
        <v>227</v>
      </c>
      <c r="C32" s="8" t="s">
        <v>228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2</v>
      </c>
      <c r="AH32" s="7"/>
      <c r="AI32" s="2">
        <f t="shared" si="0"/>
        <v>2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9.5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10</v>
      </c>
      <c r="AF107" s="3">
        <f t="shared" si="1"/>
        <v>11.5</v>
      </c>
      <c r="AG107" s="3">
        <f t="shared" si="1"/>
        <v>11.5</v>
      </c>
      <c r="AH107" s="3">
        <f t="shared" si="1"/>
        <v>9.5</v>
      </c>
      <c r="AI107" s="1">
        <f>SUM(D107:AH107)</f>
        <v>207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7"/>
  <sheetViews>
    <sheetView topLeftCell="A7" zoomScale="85" zoomScaleNormal="85" workbookViewId="0">
      <pane xSplit="3" topLeftCell="AE1" activePane="topRight" state="frozen"/>
      <selection pane="topRight" activeCell="B14" sqref="B14:C14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227</v>
      </c>
      <c r="C7" s="15" t="s">
        <v>228</v>
      </c>
      <c r="D7" s="13">
        <v>9</v>
      </c>
      <c r="E7" s="5">
        <v>7.5</v>
      </c>
      <c r="F7" s="5">
        <v>2.5</v>
      </c>
      <c r="G7" s="5">
        <v>2.5</v>
      </c>
      <c r="H7" s="5">
        <v>6</v>
      </c>
      <c r="I7" s="5">
        <v>7.5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35</v>
      </c>
    </row>
    <row r="8" spans="1:35" x14ac:dyDescent="0.35">
      <c r="A8" s="26">
        <v>2</v>
      </c>
      <c r="B8" s="8" t="s">
        <v>212</v>
      </c>
      <c r="C8" s="9" t="s">
        <v>213</v>
      </c>
      <c r="D8" s="7"/>
      <c r="E8" s="7"/>
      <c r="F8" s="7">
        <v>1</v>
      </c>
      <c r="G8" s="7"/>
      <c r="H8" s="7"/>
      <c r="I8" s="7"/>
      <c r="J8" s="7"/>
      <c r="K8" s="7"/>
      <c r="L8" s="7"/>
      <c r="M8" s="7">
        <v>1</v>
      </c>
      <c r="N8" s="7"/>
      <c r="O8" s="7"/>
      <c r="P8" s="7"/>
      <c r="Q8" s="7">
        <v>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6</v>
      </c>
    </row>
    <row r="9" spans="1:35" x14ac:dyDescent="0.35">
      <c r="A9" s="26">
        <v>3</v>
      </c>
      <c r="B9" s="9" t="s">
        <v>123</v>
      </c>
      <c r="C9" s="9" t="s">
        <v>229</v>
      </c>
      <c r="D9" s="7"/>
      <c r="E9" s="7"/>
      <c r="F9" s="7">
        <v>1.5</v>
      </c>
      <c r="G9" s="7">
        <v>1.5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5">
      <c r="A10" s="26">
        <v>4</v>
      </c>
      <c r="B10" s="9" t="s">
        <v>115</v>
      </c>
      <c r="C10" s="6" t="s">
        <v>230</v>
      </c>
      <c r="D10" s="7"/>
      <c r="E10" s="7"/>
      <c r="F10" s="7">
        <v>1.5</v>
      </c>
      <c r="G10" s="7">
        <v>1.5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5">
      <c r="A11" s="26">
        <v>5</v>
      </c>
      <c r="B11" s="8" t="s">
        <v>214</v>
      </c>
      <c r="C11" s="6" t="s">
        <v>231</v>
      </c>
      <c r="D11" s="7"/>
      <c r="E11" s="7"/>
      <c r="F11" s="7">
        <v>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</v>
      </c>
    </row>
    <row r="12" spans="1:35" x14ac:dyDescent="0.35">
      <c r="A12" s="26">
        <v>6</v>
      </c>
      <c r="B12" s="9" t="s">
        <v>219</v>
      </c>
      <c r="C12" s="6" t="s">
        <v>222</v>
      </c>
      <c r="D12" s="7"/>
      <c r="E12" s="7"/>
      <c r="F12" s="7">
        <v>1</v>
      </c>
      <c r="G12" s="7">
        <v>3</v>
      </c>
      <c r="H12" s="7">
        <v>1.5</v>
      </c>
      <c r="I12" s="7"/>
      <c r="J12" s="7">
        <v>1</v>
      </c>
      <c r="K12" s="7"/>
      <c r="L12" s="7"/>
      <c r="M12" s="7"/>
      <c r="N12" s="7">
        <v>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8.5</v>
      </c>
    </row>
    <row r="13" spans="1:35" x14ac:dyDescent="0.35">
      <c r="A13" s="26">
        <v>7</v>
      </c>
      <c r="B13" s="9" t="s">
        <v>123</v>
      </c>
      <c r="C13" s="9" t="s">
        <v>232</v>
      </c>
      <c r="D13" s="7"/>
      <c r="E13" s="7"/>
      <c r="F13" s="7"/>
      <c r="G13" s="7">
        <v>1.5</v>
      </c>
      <c r="H13" s="7">
        <v>1</v>
      </c>
      <c r="I13" s="7">
        <v>1</v>
      </c>
      <c r="J13" s="7">
        <v>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6.5</v>
      </c>
    </row>
    <row r="14" spans="1:35" x14ac:dyDescent="0.35">
      <c r="A14" s="26">
        <v>8</v>
      </c>
      <c r="B14" s="9" t="s">
        <v>115</v>
      </c>
      <c r="C14" s="9" t="s">
        <v>233</v>
      </c>
      <c r="D14" s="7"/>
      <c r="E14" s="7"/>
      <c r="F14" s="7"/>
      <c r="G14" s="7">
        <v>1.5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5">
      <c r="A15" s="26">
        <v>9</v>
      </c>
      <c r="B15" s="9" t="s">
        <v>115</v>
      </c>
      <c r="C15" s="9" t="s">
        <v>234</v>
      </c>
      <c r="D15" s="7"/>
      <c r="E15" s="7"/>
      <c r="F15" s="7"/>
      <c r="G15" s="7"/>
      <c r="H15" s="7">
        <v>0.5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35">
      <c r="A16" s="26">
        <v>10</v>
      </c>
      <c r="B16" s="9" t="s">
        <v>115</v>
      </c>
      <c r="C16" s="8" t="s">
        <v>235</v>
      </c>
      <c r="D16" s="7"/>
      <c r="E16" s="7"/>
      <c r="F16" s="7"/>
      <c r="G16" s="7"/>
      <c r="H16" s="7"/>
      <c r="I16" s="7">
        <v>0.5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5">
      <c r="A17" s="26">
        <v>11</v>
      </c>
      <c r="B17" s="9" t="s">
        <v>123</v>
      </c>
      <c r="C17" s="9" t="s">
        <v>236</v>
      </c>
      <c r="D17" s="7"/>
      <c r="E17" s="7"/>
      <c r="F17" s="7"/>
      <c r="G17" s="7"/>
      <c r="H17" s="7"/>
      <c r="I17" s="7">
        <v>0.5</v>
      </c>
      <c r="J17" s="7"/>
      <c r="K17" s="7"/>
      <c r="L17" s="7"/>
      <c r="M17" s="7">
        <v>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5">
      <c r="A18" s="26">
        <v>12</v>
      </c>
      <c r="B18" s="8" t="s">
        <v>237</v>
      </c>
      <c r="C18" s="9" t="s">
        <v>238</v>
      </c>
      <c r="D18" s="7"/>
      <c r="E18" s="7"/>
      <c r="F18" s="7"/>
      <c r="G18" s="7"/>
      <c r="H18" s="7"/>
      <c r="I18" s="7"/>
      <c r="J18" s="7">
        <v>3</v>
      </c>
      <c r="K18" s="7"/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</v>
      </c>
    </row>
    <row r="19" spans="1:35" x14ac:dyDescent="0.35">
      <c r="A19" s="26">
        <v>13</v>
      </c>
      <c r="B19" s="8" t="s">
        <v>214</v>
      </c>
      <c r="C19" s="9" t="s">
        <v>220</v>
      </c>
      <c r="D19" s="7"/>
      <c r="E19" s="7"/>
      <c r="F19" s="7"/>
      <c r="G19" s="7"/>
      <c r="H19" s="7"/>
      <c r="I19" s="7"/>
      <c r="J19" s="7">
        <v>2</v>
      </c>
      <c r="K19" s="7"/>
      <c r="L19" s="7"/>
      <c r="M19" s="7">
        <v>0.5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35">
      <c r="A20" s="26">
        <v>14</v>
      </c>
      <c r="B20" s="8" t="s">
        <v>227</v>
      </c>
      <c r="C20" s="46" t="s">
        <v>239</v>
      </c>
      <c r="D20" s="7"/>
      <c r="E20" s="7"/>
      <c r="F20" s="7"/>
      <c r="G20" s="7"/>
      <c r="H20" s="7"/>
      <c r="I20" s="7"/>
      <c r="J20" s="7"/>
      <c r="K20" s="7">
        <v>4</v>
      </c>
      <c r="L20" s="7"/>
      <c r="M20" s="7">
        <v>5</v>
      </c>
      <c r="N20" s="7">
        <v>2</v>
      </c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>
        <v>4</v>
      </c>
      <c r="AC20" s="7">
        <v>3.5</v>
      </c>
      <c r="AD20" s="7">
        <v>2</v>
      </c>
      <c r="AE20" s="7">
        <v>1.5</v>
      </c>
      <c r="AF20" s="7"/>
      <c r="AG20" s="7"/>
      <c r="AH20" s="7"/>
      <c r="AI20" s="2">
        <f t="shared" si="0"/>
        <v>25</v>
      </c>
    </row>
    <row r="21" spans="1:35" x14ac:dyDescent="0.35">
      <c r="A21" s="26">
        <v>15</v>
      </c>
      <c r="B21" s="9" t="s">
        <v>115</v>
      </c>
      <c r="C21" s="9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35">
      <c r="A22" s="26">
        <v>16</v>
      </c>
      <c r="B22" s="8" t="s">
        <v>241</v>
      </c>
      <c r="C22" s="8" t="s">
        <v>242</v>
      </c>
      <c r="D22" s="7"/>
      <c r="E22" s="7"/>
      <c r="F22" s="7"/>
      <c r="G22" s="7"/>
      <c r="H22" s="7"/>
      <c r="I22" s="7"/>
      <c r="J22" s="7"/>
      <c r="K22" s="7"/>
      <c r="L22" s="7"/>
      <c r="M22" s="7">
        <v>0.5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35">
      <c r="A23" s="26">
        <v>17</v>
      </c>
      <c r="B23" s="8" t="s">
        <v>207</v>
      </c>
      <c r="C23" s="8" t="s">
        <v>243</v>
      </c>
      <c r="D23" s="7"/>
      <c r="E23" s="7"/>
      <c r="F23" s="7"/>
      <c r="G23" s="7"/>
      <c r="H23" s="7"/>
      <c r="I23" s="7"/>
      <c r="J23" s="7"/>
      <c r="K23" s="7"/>
      <c r="L23" s="7"/>
      <c r="M23" s="7">
        <v>1</v>
      </c>
      <c r="N23" s="7">
        <v>3</v>
      </c>
      <c r="O23" s="7"/>
      <c r="P23" s="7">
        <v>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8</v>
      </c>
    </row>
    <row r="24" spans="1:35" x14ac:dyDescent="0.35">
      <c r="A24" s="26">
        <v>18</v>
      </c>
      <c r="B24" s="8" t="s">
        <v>227</v>
      </c>
      <c r="C24" s="9" t="s">
        <v>244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1.5</v>
      </c>
      <c r="O24" s="7">
        <v>4.5</v>
      </c>
      <c r="P24" s="7">
        <v>5</v>
      </c>
      <c r="Q24" s="7">
        <v>5</v>
      </c>
      <c r="R24" s="7"/>
      <c r="S24" s="7"/>
      <c r="T24" s="7">
        <v>4</v>
      </c>
      <c r="U24" s="7">
        <v>1</v>
      </c>
      <c r="V24" s="7"/>
      <c r="W24" s="7"/>
      <c r="X24" s="7"/>
      <c r="Y24" s="7"/>
      <c r="Z24" s="7"/>
      <c r="AA24" s="7"/>
      <c r="AB24" s="7">
        <v>3</v>
      </c>
      <c r="AC24" s="7">
        <v>3</v>
      </c>
      <c r="AD24" s="7">
        <v>5.4</v>
      </c>
      <c r="AE24" s="7">
        <v>2</v>
      </c>
      <c r="AF24" s="7"/>
      <c r="AG24" s="7"/>
      <c r="AH24" s="7"/>
      <c r="AI24" s="2">
        <f t="shared" si="0"/>
        <v>34.4</v>
      </c>
    </row>
    <row r="25" spans="1:35" x14ac:dyDescent="0.35">
      <c r="A25" s="26">
        <v>19</v>
      </c>
      <c r="B25" s="8" t="s">
        <v>34</v>
      </c>
      <c r="C25" s="6" t="s">
        <v>245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1.5</v>
      </c>
      <c r="O25" s="7">
        <v>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2</v>
      </c>
      <c r="AC25" s="7"/>
      <c r="AD25" s="7"/>
      <c r="AE25" s="7">
        <v>2</v>
      </c>
      <c r="AF25" s="7"/>
      <c r="AG25" s="7"/>
      <c r="AH25" s="7"/>
      <c r="AI25" s="2">
        <f t="shared" si="0"/>
        <v>7.5</v>
      </c>
    </row>
    <row r="26" spans="1:35" x14ac:dyDescent="0.35">
      <c r="A26" s="26">
        <v>20</v>
      </c>
      <c r="B26" s="8" t="s">
        <v>214</v>
      </c>
      <c r="C26" s="9" t="s">
        <v>246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2.5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2.5</v>
      </c>
    </row>
    <row r="27" spans="1:35" x14ac:dyDescent="0.35">
      <c r="A27" s="26">
        <v>21</v>
      </c>
      <c r="B27" s="9" t="s">
        <v>123</v>
      </c>
      <c r="C27" s="9" t="s">
        <v>247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1.5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1.5</v>
      </c>
    </row>
    <row r="28" spans="1:35" x14ac:dyDescent="0.35">
      <c r="A28" s="26">
        <v>22</v>
      </c>
      <c r="B28" s="8" t="s">
        <v>227</v>
      </c>
      <c r="C28" s="9" t="s">
        <v>248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5</v>
      </c>
      <c r="U28" s="7">
        <v>3</v>
      </c>
      <c r="V28" s="7"/>
      <c r="W28" s="7">
        <v>4</v>
      </c>
      <c r="X28" s="7">
        <v>4</v>
      </c>
      <c r="Y28" s="7"/>
      <c r="Z28" s="7"/>
      <c r="AA28" s="7"/>
      <c r="AB28" s="7"/>
      <c r="AC28" s="7"/>
      <c r="AD28" s="7"/>
      <c r="AE28" s="7">
        <v>1.5</v>
      </c>
      <c r="AF28" s="7"/>
      <c r="AG28" s="7"/>
      <c r="AH28" s="7"/>
      <c r="AI28" s="2">
        <f t="shared" si="0"/>
        <v>17.5</v>
      </c>
    </row>
    <row r="29" spans="1:35" x14ac:dyDescent="0.35">
      <c r="A29" s="26">
        <v>23</v>
      </c>
      <c r="B29" s="8" t="s">
        <v>249</v>
      </c>
      <c r="C29" s="9" t="s">
        <v>250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>
        <v>2</v>
      </c>
      <c r="V29" s="7">
        <v>1.5</v>
      </c>
      <c r="W29" s="7">
        <v>1</v>
      </c>
      <c r="X29" s="7">
        <v>1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5.5</v>
      </c>
    </row>
    <row r="30" spans="1:35" x14ac:dyDescent="0.35">
      <c r="A30" s="26">
        <v>24</v>
      </c>
      <c r="B30" s="8" t="s">
        <v>34</v>
      </c>
      <c r="C30" s="6" t="s">
        <v>251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44"/>
      <c r="V30" s="7">
        <v>1.5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1.5</v>
      </c>
    </row>
    <row r="31" spans="1:35" x14ac:dyDescent="0.35">
      <c r="A31" s="26">
        <v>25</v>
      </c>
      <c r="B31" s="8" t="s">
        <v>252</v>
      </c>
      <c r="C31" s="9" t="s">
        <v>253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6</v>
      </c>
      <c r="W31" s="7">
        <v>4</v>
      </c>
      <c r="X31" s="7">
        <v>4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14</v>
      </c>
    </row>
    <row r="32" spans="1:35" x14ac:dyDescent="0.35">
      <c r="A32" s="26">
        <v>26</v>
      </c>
      <c r="B32" s="8" t="s">
        <v>249</v>
      </c>
      <c r="C32" s="8" t="s">
        <v>250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1.5</v>
      </c>
      <c r="AD32" s="7"/>
      <c r="AE32" s="7"/>
      <c r="AF32" s="7"/>
      <c r="AG32" s="7"/>
      <c r="AH32" s="7"/>
      <c r="AI32" s="2">
        <f t="shared" si="0"/>
        <v>1.5</v>
      </c>
    </row>
    <row r="33" spans="1:35" x14ac:dyDescent="0.35">
      <c r="A33" s="26">
        <v>27</v>
      </c>
      <c r="B33" s="8" t="s">
        <v>249</v>
      </c>
      <c r="C33" s="8" t="s">
        <v>254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1.3</v>
      </c>
      <c r="AD33" s="7">
        <v>2</v>
      </c>
      <c r="AE33" s="7"/>
      <c r="AF33" s="7"/>
      <c r="AG33" s="7"/>
      <c r="AH33" s="7"/>
      <c r="AI33" s="2">
        <f t="shared" si="0"/>
        <v>3.3</v>
      </c>
    </row>
    <row r="34" spans="1:35" x14ac:dyDescent="0.35">
      <c r="A34" s="26">
        <v>28</v>
      </c>
      <c r="B34" s="8" t="s">
        <v>249</v>
      </c>
      <c r="C34" s="8" t="s">
        <v>255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2</v>
      </c>
      <c r="AE34" s="7"/>
      <c r="AF34" s="7"/>
      <c r="AG34" s="7"/>
      <c r="AH34" s="7"/>
      <c r="AI34" s="2">
        <f t="shared" si="0"/>
        <v>2</v>
      </c>
    </row>
    <row r="35" spans="1:35" x14ac:dyDescent="0.35">
      <c r="A35" s="26">
        <v>29</v>
      </c>
      <c r="B35" s="8" t="s">
        <v>249</v>
      </c>
      <c r="C35" s="8" t="s">
        <v>256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>
        <v>2</v>
      </c>
      <c r="AF35" s="7"/>
      <c r="AG35" s="7"/>
      <c r="AH35" s="7"/>
      <c r="AI35" s="2">
        <f t="shared" si="0"/>
        <v>2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7.5</v>
      </c>
      <c r="F107" s="12">
        <f t="shared" si="1"/>
        <v>11.5</v>
      </c>
      <c r="G107" s="3">
        <f t="shared" si="1"/>
        <v>11.5</v>
      </c>
      <c r="H107" s="3">
        <f t="shared" si="1"/>
        <v>10</v>
      </c>
      <c r="I107" s="3">
        <f t="shared" si="1"/>
        <v>9.5</v>
      </c>
      <c r="J107" s="3">
        <f t="shared" si="1"/>
        <v>9</v>
      </c>
      <c r="K107" s="3">
        <f t="shared" si="1"/>
        <v>4</v>
      </c>
      <c r="L107" s="3">
        <f t="shared" si="1"/>
        <v>4</v>
      </c>
      <c r="M107" s="3">
        <f t="shared" si="1"/>
        <v>9.5</v>
      </c>
      <c r="N107" s="3">
        <f t="shared" si="1"/>
        <v>10</v>
      </c>
      <c r="O107" s="3">
        <f t="shared" si="1"/>
        <v>9</v>
      </c>
      <c r="P107" s="3">
        <f t="shared" si="1"/>
        <v>9</v>
      </c>
      <c r="Q107" s="3">
        <f t="shared" si="1"/>
        <v>10.5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9.3000000000000007</v>
      </c>
      <c r="AD107" s="3">
        <f t="shared" si="1"/>
        <v>11.4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207.70000000000002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7"/>
  <sheetViews>
    <sheetView tabSelected="1" zoomScale="85" zoomScaleNormal="85" workbookViewId="0">
      <pane xSplit="3" topLeftCell="Y1" activePane="topRight" state="frozen"/>
      <selection pane="topRight" activeCell="AH32" sqref="AH3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207</v>
      </c>
      <c r="C7" s="9" t="s">
        <v>257</v>
      </c>
      <c r="D7" s="13">
        <v>7.5</v>
      </c>
      <c r="E7" s="5">
        <v>6.5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14</v>
      </c>
    </row>
    <row r="8" spans="1:35" x14ac:dyDescent="0.35">
      <c r="A8" s="26">
        <v>2</v>
      </c>
      <c r="B8" s="8" t="s">
        <v>115</v>
      </c>
      <c r="C8" s="9" t="s">
        <v>233</v>
      </c>
      <c r="D8" s="7"/>
      <c r="E8" s="7">
        <v>0.5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35">
      <c r="A9" s="26">
        <v>3</v>
      </c>
      <c r="B9" s="8" t="s">
        <v>115</v>
      </c>
      <c r="C9" s="9" t="s">
        <v>248</v>
      </c>
      <c r="D9" s="7"/>
      <c r="E9" s="7"/>
      <c r="F9" s="7">
        <v>7</v>
      </c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</v>
      </c>
    </row>
    <row r="10" spans="1:35" x14ac:dyDescent="0.35">
      <c r="A10" s="26">
        <v>4</v>
      </c>
      <c r="B10" s="8" t="s">
        <v>115</v>
      </c>
      <c r="C10" s="9" t="s">
        <v>239</v>
      </c>
      <c r="D10" s="7">
        <v>2</v>
      </c>
      <c r="E10" s="7">
        <v>2.2000000000000002</v>
      </c>
      <c r="F10" s="7"/>
      <c r="G10" s="7">
        <v>2</v>
      </c>
      <c r="H10" s="7">
        <v>9</v>
      </c>
      <c r="I10" s="7"/>
      <c r="J10" s="7"/>
      <c r="K10" s="7">
        <v>8.5</v>
      </c>
      <c r="L10" s="7">
        <v>8</v>
      </c>
      <c r="M10" s="7">
        <v>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32.700000000000003</v>
      </c>
    </row>
    <row r="11" spans="1:35" x14ac:dyDescent="0.35">
      <c r="A11" s="26">
        <v>5</v>
      </c>
      <c r="B11" s="8" t="s">
        <v>252</v>
      </c>
      <c r="C11" s="9" t="s">
        <v>258</v>
      </c>
      <c r="D11" s="7"/>
      <c r="E11" s="7"/>
      <c r="F11" s="7">
        <v>2</v>
      </c>
      <c r="G11" s="7"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7</v>
      </c>
    </row>
    <row r="12" spans="1:35" x14ac:dyDescent="0.35">
      <c r="A12" s="26">
        <v>6</v>
      </c>
      <c r="B12" s="8" t="s">
        <v>259</v>
      </c>
      <c r="C12" s="9" t="s">
        <v>260</v>
      </c>
      <c r="D12" s="7"/>
      <c r="E12" s="7"/>
      <c r="F12" s="7"/>
      <c r="G12" s="7"/>
      <c r="H12" s="7"/>
      <c r="I12" s="7"/>
      <c r="J12" s="7"/>
      <c r="K12" s="7">
        <v>0.5</v>
      </c>
      <c r="L12" s="7"/>
      <c r="M12" s="7"/>
      <c r="N12" s="7"/>
      <c r="O12" s="7"/>
      <c r="P12" s="7"/>
      <c r="Q12" s="7"/>
      <c r="R12" s="7">
        <v>6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6.5</v>
      </c>
    </row>
    <row r="13" spans="1:35" x14ac:dyDescent="0.35">
      <c r="A13" s="26">
        <v>7</v>
      </c>
      <c r="B13" s="8" t="s">
        <v>261</v>
      </c>
      <c r="C13" s="9" t="s">
        <v>262</v>
      </c>
      <c r="D13" s="7"/>
      <c r="E13" s="7"/>
      <c r="F13" s="7"/>
      <c r="G13" s="7"/>
      <c r="H13" s="7"/>
      <c r="I13" s="7"/>
      <c r="J13" s="7"/>
      <c r="K13" s="7"/>
      <c r="L13" s="7">
        <v>1.5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2.5</v>
      </c>
    </row>
    <row r="14" spans="1:35" x14ac:dyDescent="0.35">
      <c r="A14" s="26">
        <v>8</v>
      </c>
      <c r="B14" s="8" t="s">
        <v>263</v>
      </c>
      <c r="C14" s="9" t="s">
        <v>264</v>
      </c>
      <c r="D14" s="7"/>
      <c r="E14" s="7"/>
      <c r="F14" s="7"/>
      <c r="G14" s="7"/>
      <c r="H14" s="7"/>
      <c r="I14" s="7"/>
      <c r="J14" s="7"/>
      <c r="K14" s="7"/>
      <c r="L14" s="7"/>
      <c r="M14" s="7">
        <v>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3</v>
      </c>
    </row>
    <row r="15" spans="1:35" x14ac:dyDescent="0.35">
      <c r="A15" s="26">
        <v>9</v>
      </c>
      <c r="B15" s="8" t="s">
        <v>207</v>
      </c>
      <c r="C15" s="9" t="s">
        <v>265</v>
      </c>
      <c r="D15" s="7"/>
      <c r="E15" s="7"/>
      <c r="F15" s="7"/>
      <c r="G15" s="7"/>
      <c r="H15" s="7"/>
      <c r="I15" s="7"/>
      <c r="J15" s="7"/>
      <c r="K15" s="7"/>
      <c r="L15" s="7"/>
      <c r="M15" s="7">
        <v>4</v>
      </c>
      <c r="N15" s="7">
        <v>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6</v>
      </c>
    </row>
    <row r="16" spans="1:35" x14ac:dyDescent="0.35">
      <c r="A16" s="26">
        <v>10</v>
      </c>
      <c r="B16" s="8" t="s">
        <v>207</v>
      </c>
      <c r="C16" s="9" t="s">
        <v>266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v>2.5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35">
      <c r="A17" s="26">
        <v>11</v>
      </c>
      <c r="B17" s="8" t="s">
        <v>207</v>
      </c>
      <c r="C17" s="9" t="s">
        <v>267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1.5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5">
      <c r="A18" s="26">
        <v>12</v>
      </c>
      <c r="B18" s="8" t="s">
        <v>227</v>
      </c>
      <c r="C18" s="9" t="s">
        <v>270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1</v>
      </c>
      <c r="O18" s="7">
        <v>7.5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8.5</v>
      </c>
    </row>
    <row r="19" spans="1:35" x14ac:dyDescent="0.35">
      <c r="A19" s="26">
        <v>13</v>
      </c>
      <c r="B19" s="9" t="s">
        <v>268</v>
      </c>
      <c r="C19" s="9" t="s">
        <v>269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2</v>
      </c>
      <c r="O19" s="7">
        <v>0.5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/>
      <c r="AF19" s="7"/>
      <c r="AG19" s="7"/>
      <c r="AH19" s="7"/>
      <c r="AI19" s="2">
        <f t="shared" si="0"/>
        <v>3.5</v>
      </c>
    </row>
    <row r="20" spans="1:35" x14ac:dyDescent="0.35">
      <c r="A20" s="26">
        <v>14</v>
      </c>
      <c r="B20" s="8" t="s">
        <v>271</v>
      </c>
      <c r="C20" s="8" t="s">
        <v>272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v>1</v>
      </c>
      <c r="P20" s="7"/>
      <c r="Q20" s="7"/>
      <c r="R20" s="7"/>
      <c r="S20" s="7"/>
      <c r="T20" s="7">
        <v>2</v>
      </c>
      <c r="U20" s="7">
        <v>1</v>
      </c>
      <c r="V20" s="7">
        <v>1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35">
      <c r="A21" s="26">
        <v>15</v>
      </c>
      <c r="B21" s="8" t="s">
        <v>271</v>
      </c>
      <c r="C21" s="9" t="s">
        <v>275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2</v>
      </c>
      <c r="U21" s="7">
        <v>1</v>
      </c>
      <c r="V21" s="7">
        <v>1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4</v>
      </c>
    </row>
    <row r="22" spans="1:35" x14ac:dyDescent="0.35">
      <c r="A22" s="26">
        <v>16</v>
      </c>
      <c r="B22" s="8" t="s">
        <v>271</v>
      </c>
      <c r="C22" s="9" t="s">
        <v>274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</v>
      </c>
      <c r="U22" s="7">
        <v>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35">
      <c r="A23" s="26">
        <v>17</v>
      </c>
      <c r="B23" s="8" t="s">
        <v>207</v>
      </c>
      <c r="C23" s="8" t="s">
        <v>273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v>3</v>
      </c>
      <c r="S23" s="7"/>
      <c r="T23" s="7">
        <v>4</v>
      </c>
      <c r="U23" s="7">
        <v>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9</v>
      </c>
    </row>
    <row r="24" spans="1:35" x14ac:dyDescent="0.35">
      <c r="A24" s="26">
        <v>18</v>
      </c>
      <c r="B24" s="8" t="s">
        <v>263</v>
      </c>
      <c r="C24" s="9" t="s">
        <v>276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>
        <v>4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4</v>
      </c>
    </row>
    <row r="25" spans="1:35" x14ac:dyDescent="0.35">
      <c r="A25" s="26">
        <v>19</v>
      </c>
      <c r="B25" s="8" t="s">
        <v>207</v>
      </c>
      <c r="C25" s="6" t="s">
        <v>208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2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35">
      <c r="A26" s="26">
        <v>20</v>
      </c>
      <c r="B26" s="14" t="s">
        <v>214</v>
      </c>
      <c r="C26" s="9" t="s">
        <v>277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5</v>
      </c>
      <c r="W26" s="7"/>
      <c r="X26" s="7"/>
      <c r="Y26" s="7">
        <v>9</v>
      </c>
      <c r="Z26" s="7">
        <v>9</v>
      </c>
      <c r="AA26" s="7">
        <v>9</v>
      </c>
      <c r="AB26" s="7">
        <v>1</v>
      </c>
      <c r="AC26" s="7"/>
      <c r="AD26" s="7"/>
      <c r="AE26" s="7"/>
      <c r="AF26" s="7"/>
      <c r="AG26" s="7"/>
      <c r="AH26" s="7"/>
      <c r="AI26" s="2">
        <f t="shared" si="0"/>
        <v>33</v>
      </c>
    </row>
    <row r="27" spans="1:35" x14ac:dyDescent="0.35">
      <c r="A27" s="26">
        <v>21</v>
      </c>
      <c r="B27" s="14" t="s">
        <v>214</v>
      </c>
      <c r="C27" s="9" t="s">
        <v>278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>
        <v>8</v>
      </c>
      <c r="AC27" s="7">
        <v>7.5</v>
      </c>
      <c r="AD27" s="7"/>
      <c r="AE27" s="7"/>
      <c r="AF27" s="42">
        <v>2.5</v>
      </c>
      <c r="AG27" s="7">
        <v>2</v>
      </c>
      <c r="AH27" s="7"/>
      <c r="AI27" s="2">
        <f t="shared" si="0"/>
        <v>20</v>
      </c>
    </row>
    <row r="28" spans="1:35" x14ac:dyDescent="0.35">
      <c r="A28" s="26">
        <v>22</v>
      </c>
      <c r="B28" s="8" t="s">
        <v>279</v>
      </c>
      <c r="C28" s="9" t="s">
        <v>280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0.5</v>
      </c>
      <c r="AD28" s="7"/>
      <c r="AE28" s="7"/>
      <c r="AF28" s="7"/>
      <c r="AG28" s="7"/>
      <c r="AH28" s="7"/>
      <c r="AI28" s="2">
        <f t="shared" si="0"/>
        <v>0.5</v>
      </c>
    </row>
    <row r="29" spans="1:35" x14ac:dyDescent="0.35">
      <c r="A29" s="26">
        <v>23</v>
      </c>
      <c r="B29" s="14" t="s">
        <v>214</v>
      </c>
      <c r="C29" s="9" t="s">
        <v>281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4</v>
      </c>
      <c r="AG29" s="7">
        <v>2</v>
      </c>
      <c r="AH29" s="7"/>
      <c r="AI29" s="2">
        <f t="shared" si="0"/>
        <v>6</v>
      </c>
    </row>
    <row r="30" spans="1:35" x14ac:dyDescent="0.35">
      <c r="A30" s="26">
        <v>24</v>
      </c>
      <c r="B30" s="8" t="s">
        <v>115</v>
      </c>
      <c r="C30" s="6" t="s">
        <v>282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>
        <v>5</v>
      </c>
      <c r="AH30" s="7"/>
      <c r="AI30" s="2">
        <f t="shared" si="0"/>
        <v>7.5</v>
      </c>
    </row>
    <row r="31" spans="1:35" x14ac:dyDescent="0.35">
      <c r="A31" s="26">
        <v>25</v>
      </c>
      <c r="B31" s="8" t="s">
        <v>283</v>
      </c>
      <c r="C31" s="9" t="s">
        <v>284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>
        <v>9</v>
      </c>
      <c r="AI31" s="2">
        <f t="shared" si="0"/>
        <v>9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9.1999999999999993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9.5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199.2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7"/>
  <sheetViews>
    <sheetView topLeftCell="A72" zoomScale="85" zoomScaleNormal="85" workbookViewId="0">
      <pane xSplit="3" topLeftCell="AF1" activePane="topRight" state="frozen"/>
      <selection pane="topRight" activeCell="B7" sqref="B7:AH28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7"/>
  <sheetViews>
    <sheetView topLeftCell="A73" zoomScale="85" zoomScaleNormal="85" workbookViewId="0">
      <pane xSplit="3" topLeftCell="AF1" activePane="topRight" state="frozen"/>
      <selection pane="topRight" activeCell="B7" sqref="B7:AH30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7"/>
  <sheetViews>
    <sheetView topLeftCell="A73" zoomScale="70" zoomScaleNormal="70" workbookViewId="0">
      <pane xSplit="3" topLeftCell="AA1" activePane="topRight" state="frozen"/>
      <selection pane="topRight" activeCell="B7" sqref="B7:AH34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7"/>
  <sheetViews>
    <sheetView topLeftCell="A70" zoomScale="70" zoomScaleNormal="70" workbookViewId="0">
      <pane xSplit="3" topLeftCell="AB1" activePane="topRight" state="frozen"/>
      <selection pane="topRight" activeCell="B7" sqref="B7:AH28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2024-07-31T21:12:09Z</dcterms:modified>
</cp:coreProperties>
</file>