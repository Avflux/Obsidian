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5\"/>
    </mc:Choice>
  </mc:AlternateContent>
  <xr:revisionPtr revIDLastSave="0" documentId="13_ncr:1_{6B5CAECB-5C6E-4F34-BA36-A39BEA476667}" xr6:coauthVersionLast="47" xr6:coauthVersionMax="47" xr10:uidLastSave="{00000000-0000-0000-0000-000000000000}"/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33660" yWindow="-2985" windowWidth="22965" windowHeight="12420" tabRatio="868" activeTab="2" xr2:uid="{00000000-000D-0000-FFFF-FFFF00000000}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D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10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AI107" i="56" l="1"/>
  <c r="AI107" i="54"/>
  <c r="AI107" i="57"/>
  <c r="AI107" i="52"/>
  <c r="AI107" i="51"/>
  <c r="AI107" i="50"/>
  <c r="AI107" i="58"/>
  <c r="AI107" i="53"/>
  <c r="AI107" i="55"/>
  <c r="AI107" i="49"/>
  <c r="AI107" i="5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<sst xmlns="http://schemas.openxmlformats.org/spreadsheetml/2006/main" count="212" uniqueCount="88">
  <si>
    <t>Dias</t>
  </si>
  <si>
    <t>Item</t>
  </si>
  <si>
    <t>Descrição</t>
  </si>
  <si>
    <t>Atividade</t>
  </si>
  <si>
    <t>Total</t>
  </si>
  <si>
    <t>Disposição de aparelhagem</t>
  </si>
  <si>
    <t>Interest-Interest-Curso/Treinamento-Administrativo------</t>
  </si>
  <si>
    <t>Desenvolvimento de APP</t>
  </si>
  <si>
    <t>Hersa-Eunapolis BC_REA-SE Eunápolis-Executivo-Elétrico-Conforme Construído--</t>
  </si>
  <si>
    <t>Conforme subir revisão</t>
  </si>
  <si>
    <t>Omexom-CGE Babilônia Centro-SE Ourolândia II-Executivo-Elétrico-Conforme Contruído--</t>
  </si>
  <si>
    <t>Chesf-SEs MSQ_IRE_LND_TAC_ELs 69kV_PB e TRs-SE Tacaimbó-Básico-Elétrico-Levantamento de Campo--</t>
  </si>
  <si>
    <t>Unifilar serviço auxiliar</t>
  </si>
  <si>
    <t>All Energy-SE Ibicoara-SE Ibicoara EL 138 kV-Executivo-Elétrica-Conforme Construído--</t>
  </si>
  <si>
    <t>Conforme verde vermelho</t>
  </si>
  <si>
    <t>Infra estrutura</t>
  </si>
  <si>
    <t>Chesf-SEs SJI_PRD_CGD_FTD_TAT Reforços e Melhorias-SE Pirapama II-Básico-Elétrico-Unifilar de Proteção--</t>
  </si>
  <si>
    <t>Unifilar proteção e medição</t>
  </si>
  <si>
    <t>Arquitetura de rede</t>
  </si>
  <si>
    <t>Chesf-SEs MSQ_IRE_LND_TAC_ELs 69kV_PB e TRs-SE Irecê-Básico-Elétrico-Unifilar de Proteção--</t>
  </si>
  <si>
    <t>Unifilar proteção</t>
  </si>
  <si>
    <t>Chesf-SEs MSQ_IRE_LND_TAC_ELs 69kV_PB e TRs-SE Irecê-Básico-Elétrico-Levantamento de Campo--</t>
  </si>
  <si>
    <t>Arquitetura de Rede</t>
  </si>
  <si>
    <t>Chesf-SEs MSQ_IRE_LND_TAC_ELs 69kV_PB e TRs-SE Tacaimbó-Básico-Elétrico-Arquitetura de Rede--</t>
  </si>
  <si>
    <t>Interest-Interest-Folgas-Administrativo------</t>
  </si>
  <si>
    <t>Folga</t>
  </si>
  <si>
    <t>Chesf-SEs MSQ_IRE_LND_TAC_ELs 69kV_PB e TRs-SE Irecê-Básico-Elétrico-Arquitetura de Rede--</t>
  </si>
  <si>
    <t>Neoenergia-Lote II-TRIO-Executivo-Elétrico-Conforme Construído--</t>
  </si>
  <si>
    <t>Conforme Construído</t>
  </si>
  <si>
    <t>Omexom-UFV Seriemas e Rio Brilhante-SE UFV Rio Brilhante-Executivo-Elétrico-Disposição das Aparelhagens--</t>
  </si>
  <si>
    <t>Omexom-UFV Seriemas e Rio Brilhante-SE Seriemas-Executivo-Elétrico-Conforme Contruído--</t>
  </si>
  <si>
    <t>Omexom-UFV Seriemas e Rio Brilhante-SE Seriemas-Executivo-Elétrico-Disposição das Aparelhagens--</t>
  </si>
  <si>
    <t>SIEMENS-BCS Colinas e Imperatriz-SE Colinas-Executivo-Elétrico-Conforme Contruído--</t>
  </si>
  <si>
    <t>Interligação</t>
  </si>
  <si>
    <t>Chesf-SEs MSQ_IRE_LND_TAC_ELs 69kV_PB e TRs-SE Lagoa Nova-Básico-Elétrico-Arquitetura de Rede--</t>
  </si>
  <si>
    <t>Chesf-SEs MSQ_IRE_LND_TAC_ELs 69kV_PB e TRs-SE Mossoró IV-Básico-Elétrico-Arquitetura de Rede--</t>
  </si>
  <si>
    <t>Siemens-PG 4121-TAC-Executivo-Elétrico-Conforme Construído--</t>
  </si>
  <si>
    <t>Unifilar</t>
  </si>
  <si>
    <t>Conforme</t>
  </si>
  <si>
    <t>Hersa-Poções II e Igaporã II-SE Porções II-Executivo-Elétrica-Conforme Construído--</t>
  </si>
  <si>
    <t>Chesf-SEs MSQ_IRE_LND_TAC_ELs 69kV_PB e TRs-SE Lagoa Nova-Básico-Elétrico-Unifilar de Proteção--</t>
  </si>
  <si>
    <t>Diagrama Unifilar de proteção e medição</t>
  </si>
  <si>
    <t>Treinamento Eletron</t>
  </si>
  <si>
    <t>Chesf-SEs MSQ_IRE_LND_TAC_ELs 69kV_PB e TRs-SE Mossoró IV-Básico-Elétrico-Unifilar de Proteção--</t>
  </si>
  <si>
    <t>TALDI-SEs Natal III e Paraíso-SE Paraíso-Executivo-Elétrica-Lista de materiais, lista de etiquentas, construtivos e diagrama de fiação dos serviços auxiliares--</t>
  </si>
  <si>
    <t>Serviços auxiliares</t>
  </si>
  <si>
    <t>Siemens-PG 1023-CGD-Executivo-Elétrico-Conforme Construído--</t>
  </si>
  <si>
    <t>Conforme construído</t>
  </si>
  <si>
    <t>Chesf-SEs SJI, PRD, CGD, FTD,TAT_PB e TRs-SE Pirapama II-Básico-Elétrico-Levantamento de Campo--</t>
  </si>
  <si>
    <t>Chesf-SEs SJI, PRD, CGD, FTD,TAT_PB e TRs-SE Pirapama II-Básico-Elétrico-Unifilar de Proteção--</t>
  </si>
  <si>
    <t>Chesf-SEs SJI, PRD, CGD, FTD,TAT_PB e TRs-SE Pirapama II-Básico-Elétrico-Arquitetura de Rede--</t>
  </si>
  <si>
    <t>Chesf-SEs SJI, PRD, CGD, FTD,TAT_PB e TRs-SE Campina Grande II-Básico-Elétrico-Arquitetura de Rede--</t>
  </si>
  <si>
    <t>Chesf-SEs SJI, PRD, CGD, FTD,TAT_PB e TRs-SE Campina Grande II-Básico-Elétrico-Unifilar de Proteção--</t>
  </si>
  <si>
    <t>Desenvolvimento do APP</t>
  </si>
  <si>
    <t>Power China-UFV Mauriti-SE Mauriti-Executivo-Eletromec.-Conforme Construído--</t>
  </si>
  <si>
    <t>Siemens-PG 1023-CGD-Executivo-Eletromec.-Conforme Construído--</t>
  </si>
  <si>
    <t>Serviço aixiliar</t>
  </si>
  <si>
    <t>Interest-Interest-Administrativo-Administrativo------</t>
  </si>
  <si>
    <t>Projeto Empresatial Gestão &amp; Sociedade</t>
  </si>
  <si>
    <t>Chesf-SEs MSQ_IRE_LND_TAC_ELs 69kV_PB e TRs-SE Tacaimbó-Básico-Elétrico-Unifilar de Proteção--</t>
  </si>
  <si>
    <t>Marcaçôes verde vermelho</t>
  </si>
  <si>
    <t>Eletrobras-SEs CAX5_E, FPU_F, STA_I e LON_N PB_TR-SE Londrina-Básico-Elétrico-Arquitetura de Rede--</t>
  </si>
  <si>
    <t xml:space="preserve">Arquitetura digital </t>
  </si>
  <si>
    <t>Eletrobras-SEs CAX5_E, FPU_F, STA_I e LON_N PB_TR-SE Londrina-Básico-Elétrico-Levantamento de Campo--</t>
  </si>
  <si>
    <t>Distribuição de Aparelhagem</t>
  </si>
  <si>
    <t>Eletrobras-SEs CAX5_E, FPU_F, STA_I e LON_N PB_TR-SE Caxias do Sul 5-Básico-Elétrico-Levantamento de Campo--</t>
  </si>
  <si>
    <t>Casa de comando</t>
  </si>
  <si>
    <t>Eletrobras-SEs CAX5_E, FPU_F, STA_I e LON_N PB_TR-SE Londrina-Básico-Elétrico-Unifilar de Proteção--</t>
  </si>
  <si>
    <t>Desenho</t>
  </si>
  <si>
    <t>Eletrobras-SEs CAX5_E, FPU_F, STA_I e LON_N PB_TR-SE Caxias do Sul 5-Básico-Elétrico-Arquitetura de Rede--</t>
  </si>
  <si>
    <t>Arquitetura Desenho</t>
  </si>
  <si>
    <t>Disposição Painéis</t>
  </si>
  <si>
    <t>Unifilar serviços auxiliares</t>
  </si>
  <si>
    <t>Omexom-UFV Seriemas e Rio Brilhante-SE Rio Brilhante-Executivo-Elétrico-Disposição das Aparelhagens--</t>
  </si>
  <si>
    <t>Disposição das Aparelhagens</t>
  </si>
  <si>
    <t>Reunião Geral</t>
  </si>
  <si>
    <t>Unifilar de proteção</t>
  </si>
  <si>
    <t>Eletrobras-SEs CAX5_E, FPU_F, STA_I e LON_N PB_TR-SE Caxias do Sul 5-Básico-Elétrico-Unifilar de Proteção--</t>
  </si>
  <si>
    <t>Desenho Unifilar</t>
  </si>
  <si>
    <t>Unifilar serviço auxiliar cc</t>
  </si>
  <si>
    <t>Siemens-PG 4121-AGD-Executivo-Elétrico-Conforme Construído--</t>
  </si>
  <si>
    <t>Exame ASO</t>
  </si>
  <si>
    <t>Eletrobras-SEs CAX5_E, FPU_F, STA_I e LON_N PB_TR-SE Santo Ângelo-Básico-Elétrico-Unifilar de Proteção--</t>
  </si>
  <si>
    <t>Digitalização Unifilar</t>
  </si>
  <si>
    <t>Eletrobras-SEs CAX5_E, FPU_F, STA_I e LON_N PB_TR-SE Passo Fundo-Básico-Elétrico-Levantamento de Campo--</t>
  </si>
  <si>
    <t>Comforme Construído</t>
  </si>
  <si>
    <t>Eletrobras-SEs CAX5_E, FPU_F, STA_I e LON_N PB_TR-SE Passo Fundo-Básico-Elétrico-Arquitetura de Rede--</t>
  </si>
  <si>
    <t>Arquitetura desenho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</si>
</sst>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79" zoomScaleNormal="100" workbookViewId="0">
      <pane xSplit="3" topLeftCell="Z1" activePane="topRight" state="frozen"/>
      <selection pane="topRight" activeCell="AH36" sqref="AH36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48</v>
      </c>
      <c r="C7" s="13" t="s">
        <v>5</v>
      </c>
      <c r="D7" s="12"/>
      <c r="E7" s="12"/>
      <c r="F7" s="12"/>
      <c r="G7" s="12"/>
      <c r="H7" s="12"/>
      <c r="I7" s="12">
        <v>2</v>
      </c>
      <c r="J7" s="12"/>
      <c r="K7" s="12"/>
      <c r="L7" s="4"/>
      <c r="M7" s="4"/>
      <c r="N7" s="4"/>
      <c r="O7" s="4"/>
      <c r="P7" s="4"/>
      <c r="Q7" s="4"/>
      <c r="R7" s="4"/>
      <c r="S7" s="4">
        <v>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</v>
      </c>
    </row>
    <row r="8" spans="1:35" x14ac:dyDescent="0.3">
      <c r="A8" s="24">
        <v>2</v>
      </c>
      <c r="B8" s="8" t="s">
        <v>6</v>
      </c>
      <c r="C8" s="8" t="s">
        <v>7</v>
      </c>
      <c r="D8" s="40"/>
      <c r="E8" s="40"/>
      <c r="F8" s="40"/>
      <c r="G8" s="40"/>
      <c r="H8" s="40"/>
      <c r="I8" s="40">
        <v>6.8</v>
      </c>
      <c r="J8" s="40">
        <v>4.8</v>
      </c>
      <c r="K8" s="40">
        <v>3.8</v>
      </c>
      <c r="L8" s="6">
        <v>7.8</v>
      </c>
      <c r="M8" s="6">
        <v>7.8</v>
      </c>
      <c r="N8" s="6"/>
      <c r="O8" s="6"/>
      <c r="P8" s="6">
        <v>3.8</v>
      </c>
      <c r="Q8" s="6">
        <v>2.5</v>
      </c>
      <c r="R8" s="6"/>
      <c r="S8" s="6">
        <v>3</v>
      </c>
      <c r="T8" s="6">
        <v>2</v>
      </c>
      <c r="U8" s="6"/>
      <c r="V8" s="6"/>
      <c r="W8" s="6">
        <v>3.8</v>
      </c>
      <c r="X8" s="6"/>
      <c r="Y8" s="6">
        <v>4.5</v>
      </c>
      <c r="Z8" s="6">
        <v>5</v>
      </c>
      <c r="AA8" s="6">
        <v>4</v>
      </c>
      <c r="AB8" s="6"/>
      <c r="AC8" s="6"/>
      <c r="AD8" s="6">
        <v>3</v>
      </c>
      <c r="AE8" s="6">
        <v>4</v>
      </c>
      <c r="AF8" s="6">
        <v>1</v>
      </c>
      <c r="AG8" s="6">
        <v>2</v>
      </c>
      <c r="AH8" s="6">
        <v>6</v>
      </c>
      <c r="AI8" s="2">
        <f t="shared" si="0"/>
        <v>75.599999999999994</v>
      </c>
    </row>
    <row r="9" spans="1:35" x14ac:dyDescent="0.3">
      <c r="A9" s="24">
        <v>3</v>
      </c>
      <c r="B9" s="8" t="s">
        <v>8</v>
      </c>
      <c r="C9" s="8" t="s">
        <v>9</v>
      </c>
      <c r="D9" s="40"/>
      <c r="E9" s="40"/>
      <c r="F9" s="40"/>
      <c r="G9" s="40"/>
      <c r="H9" s="40"/>
      <c r="I9" s="40"/>
      <c r="J9" s="40">
        <v>1</v>
      </c>
      <c r="K9" s="40"/>
      <c r="L9" s="6"/>
      <c r="M9" s="6"/>
      <c r="N9" s="6"/>
      <c r="O9" s="6"/>
      <c r="P9" s="6"/>
      <c r="Q9" s="42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1</v>
      </c>
    </row>
    <row r="10" spans="1:35" x14ac:dyDescent="0.3">
      <c r="A10" s="24">
        <v>4</v>
      </c>
      <c r="B10" s="8" t="s">
        <v>10</v>
      </c>
      <c r="C10" s="8" t="s">
        <v>9</v>
      </c>
      <c r="D10" s="40"/>
      <c r="E10" s="40"/>
      <c r="F10" s="40"/>
      <c r="G10" s="40"/>
      <c r="H10" s="40"/>
      <c r="I10" s="40"/>
      <c r="J10" s="40"/>
      <c r="K10" s="40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</v>
      </c>
    </row>
    <row r="11" spans="1:35" x14ac:dyDescent="0.3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>
        <v>3.2</v>
      </c>
      <c r="K11" s="40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4.2</v>
      </c>
    </row>
    <row r="12" spans="1:35" x14ac:dyDescent="0.3">
      <c r="A12" s="24">
        <v>6</v>
      </c>
      <c r="B12" s="8" t="s">
        <v>13</v>
      </c>
      <c r="C12" s="8" t="s">
        <v>14</v>
      </c>
      <c r="D12" s="40"/>
      <c r="E12" s="40"/>
      <c r="F12" s="40"/>
      <c r="G12" s="40"/>
      <c r="H12" s="40"/>
      <c r="I12" s="40"/>
      <c r="J12" s="40"/>
      <c r="K12" s="40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</v>
      </c>
    </row>
    <row r="13" spans="1:35" x14ac:dyDescent="0.3">
      <c r="A13" s="24">
        <v>7</v>
      </c>
      <c r="B13" s="7" t="s">
        <v>11</v>
      </c>
      <c r="C13" s="8" t="s">
        <v>15</v>
      </c>
      <c r="D13" s="6"/>
      <c r="E13" s="6"/>
      <c r="F13" s="6"/>
      <c r="G13" s="6"/>
      <c r="H13" s="6"/>
      <c r="I13" s="6"/>
      <c r="J13" s="6"/>
      <c r="K13" s="6"/>
      <c r="L13" s="6">
        <v>1.2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1.2</v>
      </c>
    </row>
    <row r="14" spans="1:35" x14ac:dyDescent="0.3">
      <c r="A14" s="24">
        <v>8</v>
      </c>
      <c r="B14" s="7" t="s">
        <v>49</v>
      </c>
      <c r="C14" s="8" t="s">
        <v>17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</v>
      </c>
    </row>
    <row r="15" spans="1:35" x14ac:dyDescent="0.3">
      <c r="A15" s="24">
        <v>9</v>
      </c>
      <c r="B15" s="7" t="s">
        <v>50</v>
      </c>
      <c r="C15" s="8" t="s">
        <v>18</v>
      </c>
      <c r="D15" s="6"/>
      <c r="E15" s="40"/>
      <c r="F15" s="6"/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</v>
      </c>
    </row>
    <row r="16" spans="1:35" x14ac:dyDescent="0.3">
      <c r="A16" s="24">
        <v>10</v>
      </c>
      <c r="B16" s="7" t="s">
        <v>19</v>
      </c>
      <c r="C16" s="8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</v>
      </c>
      <c r="Q16" s="6"/>
      <c r="R16" s="6">
        <v>2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3</v>
      </c>
    </row>
    <row r="17" spans="1:35" x14ac:dyDescent="0.3">
      <c r="A17" s="24">
        <v>11</v>
      </c>
      <c r="B17" s="7" t="s">
        <v>21</v>
      </c>
      <c r="C17" s="8" t="s"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>
        <v>2.5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2.5</v>
      </c>
    </row>
    <row r="18" spans="1:35" x14ac:dyDescent="0.3">
      <c r="A18" s="24">
        <v>12</v>
      </c>
      <c r="B18" s="8" t="s">
        <v>11</v>
      </c>
      <c r="C18" s="8" t="s">
        <v>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2</v>
      </c>
    </row>
    <row r="19" spans="1:35" x14ac:dyDescent="0.3">
      <c r="A19" s="24">
        <v>13</v>
      </c>
      <c r="B19" s="8" t="s">
        <v>26</v>
      </c>
      <c r="C19" s="8" t="s">
        <v>22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</v>
      </c>
      <c r="R19" s="6">
        <v>1.5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</v>
      </c>
    </row>
    <row r="20" spans="1:35" x14ac:dyDescent="0.3">
      <c r="A20" s="24">
        <v>14</v>
      </c>
      <c r="B20" s="7" t="s">
        <v>23</v>
      </c>
      <c r="C20" s="8" t="s">
        <v>22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3</v>
      </c>
      <c r="R20" s="6">
        <v>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5</v>
      </c>
    </row>
    <row r="21" spans="1:35" x14ac:dyDescent="0.3">
      <c r="A21" s="24">
        <v>15</v>
      </c>
      <c r="B21" s="7" t="s">
        <v>24</v>
      </c>
      <c r="C21" s="8" t="s">
        <v>25</v>
      </c>
      <c r="D21" s="6"/>
      <c r="E21" s="6">
        <v>8.8000000000000007</v>
      </c>
      <c r="F21" s="6">
        <v>8.8000000000000007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17.600000000000001</v>
      </c>
    </row>
    <row r="22" spans="1:35" x14ac:dyDescent="0.3">
      <c r="A22" s="24">
        <v>16</v>
      </c>
      <c r="B22" s="8" t="s">
        <v>27</v>
      </c>
      <c r="C22" s="5" t="s">
        <v>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>
        <v>2</v>
      </c>
      <c r="S22" s="6">
        <v>1</v>
      </c>
      <c r="T22" s="6">
        <v>2</v>
      </c>
      <c r="U22" s="6"/>
      <c r="V22" s="6"/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6</v>
      </c>
    </row>
    <row r="23" spans="1:35" x14ac:dyDescent="0.3">
      <c r="A23" s="24">
        <v>17</v>
      </c>
      <c r="B23" s="7" t="s">
        <v>29</v>
      </c>
      <c r="C23" s="8" t="s">
        <v>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2</v>
      </c>
    </row>
    <row r="24" spans="1:35" x14ac:dyDescent="0.3">
      <c r="A24" s="24">
        <v>18</v>
      </c>
      <c r="B24" s="7" t="s">
        <v>30</v>
      </c>
      <c r="C24" s="5" t="s">
        <v>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2</v>
      </c>
    </row>
    <row r="25" spans="1:35" x14ac:dyDescent="0.3">
      <c r="A25" s="24">
        <v>19</v>
      </c>
      <c r="B25" s="7" t="s">
        <v>31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2</v>
      </c>
      <c r="T25" s="6"/>
      <c r="U25" s="6"/>
      <c r="V25" s="6"/>
      <c r="W25" s="6">
        <v>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5</v>
      </c>
    </row>
    <row r="26" spans="1:35" x14ac:dyDescent="0.3">
      <c r="A26" s="24">
        <v>20</v>
      </c>
      <c r="B26" s="7" t="s">
        <v>51</v>
      </c>
      <c r="C26" s="8" t="s">
        <v>22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>
        <v>1</v>
      </c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</v>
      </c>
    </row>
    <row r="27" spans="1:35" x14ac:dyDescent="0.3">
      <c r="A27" s="24">
        <v>21</v>
      </c>
      <c r="B27" s="7" t="s">
        <v>32</v>
      </c>
      <c r="C27" s="8" t="s">
        <v>33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1</v>
      </c>
    </row>
    <row r="28" spans="1:35" x14ac:dyDescent="0.3">
      <c r="A28" s="24">
        <v>22</v>
      </c>
      <c r="B28" s="7" t="s">
        <v>34</v>
      </c>
      <c r="C28" s="8" t="s">
        <v>22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3</v>
      </c>
    </row>
    <row r="29" spans="1:35" x14ac:dyDescent="0.3">
      <c r="A29" s="24">
        <v>23</v>
      </c>
      <c r="B29" s="7" t="s">
        <v>35</v>
      </c>
      <c r="C29" s="8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3</v>
      </c>
    </row>
    <row r="30" spans="1:35" x14ac:dyDescent="0.3">
      <c r="A30" s="24">
        <v>24</v>
      </c>
      <c r="B30" s="7" t="s">
        <v>52</v>
      </c>
      <c r="C30" s="8" t="s">
        <v>20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3</v>
      </c>
    </row>
    <row r="31" spans="1:35" x14ac:dyDescent="0.3">
      <c r="A31" s="24">
        <v>25</v>
      </c>
      <c r="B31" s="7" t="s">
        <v>36</v>
      </c>
      <c r="C31" s="8" t="s">
        <v>28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>
        <v>3.5</v>
      </c>
      <c r="Z31" s="6">
        <v>4</v>
      </c>
      <c r="AA31" s="6"/>
      <c r="AB31" s="6"/>
      <c r="AC31" s="6"/>
      <c r="AD31" s="6"/>
      <c r="AE31" s="6"/>
      <c r="AF31" s="6"/>
      <c r="AG31" s="6"/>
      <c r="AH31" s="6"/>
      <c r="AI31" s="2">
        <f t="shared" si="0"/>
        <v>7.5</v>
      </c>
    </row>
    <row r="32" spans="1:35" x14ac:dyDescent="0.3">
      <c r="A32" s="24">
        <v>26</v>
      </c>
      <c r="B32" s="7" t="s">
        <v>16</v>
      </c>
      <c r="C32" s="7" t="s">
        <v>37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 t="s">
        <v>39</v>
      </c>
      <c r="C33" s="7" t="s">
        <v>38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1.2336</v>
      </c>
      <c r="AB33" s="6"/>
      <c r="AC33" s="6"/>
      <c r="AD33" s="6"/>
      <c r="AE33" s="6">
        <v>2</v>
      </c>
      <c r="AF33" s="6"/>
      <c r="AG33" s="6">
        <v>4</v>
      </c>
      <c r="AH33" s="6"/>
      <c r="AI33" s="2">
        <f t="shared" si="0"/>
        <v>7.2336</v>
      </c>
    </row>
    <row r="34" spans="1:35" x14ac:dyDescent="0.3">
      <c r="A34" s="24">
        <v>28</v>
      </c>
      <c r="B34" s="7" t="s">
        <v>40</v>
      </c>
      <c r="C34" s="7" t="s">
        <v>41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0.28189999999999998</v>
      </c>
      <c r="AB34" s="6"/>
      <c r="AC34" s="6"/>
      <c r="AD34" s="6"/>
      <c r="AE34" s="6"/>
      <c r="AF34" s="6"/>
      <c r="AG34" s="6"/>
      <c r="AH34" s="6"/>
      <c r="AI34" s="2">
        <f t="shared" si="0"/>
        <v>0.28189999999999998</v>
      </c>
    </row>
    <row r="35" spans="1:35" x14ac:dyDescent="0.3">
      <c r="A35" s="24">
        <v>29</v>
      </c>
      <c r="B35" s="7" t="s">
        <v>6</v>
      </c>
      <c r="C35" s="7" t="s">
        <v>42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3.4855999999999998</v>
      </c>
      <c r="AB35" s="6"/>
      <c r="AC35" s="6"/>
      <c r="AD35" s="6">
        <v>1.5</v>
      </c>
      <c r="AE35" s="6">
        <v>3</v>
      </c>
      <c r="AF35" s="6">
        <v>2</v>
      </c>
      <c r="AG35" s="6"/>
      <c r="AH35" s="6">
        <v>3</v>
      </c>
      <c r="AI35" s="2">
        <f t="shared" si="0"/>
        <v>12.9856</v>
      </c>
    </row>
    <row r="36" spans="1:35" x14ac:dyDescent="0.3">
      <c r="A36" s="24">
        <v>30</v>
      </c>
      <c r="B36" s="7" t="s">
        <v>43</v>
      </c>
      <c r="C36" s="7" t="s">
        <v>41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1.5</v>
      </c>
      <c r="AE36" s="6"/>
      <c r="AF36" s="6"/>
      <c r="AG36" s="6"/>
      <c r="AH36" s="6"/>
      <c r="AI36" s="2">
        <f t="shared" si="0"/>
        <v>1.5</v>
      </c>
    </row>
    <row r="37" spans="1:35" x14ac:dyDescent="0.3">
      <c r="A37" s="24">
        <v>31</v>
      </c>
      <c r="B37" s="7" t="s">
        <v>44</v>
      </c>
      <c r="C37" s="8" t="s">
        <v>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/>
      <c r="AI37" s="2">
        <f t="shared" si="0"/>
        <v>3</v>
      </c>
    </row>
    <row r="38" spans="1:35" x14ac:dyDescent="0.3">
      <c r="A38" s="24">
        <v>32</v>
      </c>
      <c r="B38" s="9" t="s">
        <v>46</v>
      </c>
      <c r="C38" s="43" t="s">
        <v>47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6</v>
      </c>
      <c r="AG38" s="10">
        <v>3</v>
      </c>
      <c r="AH38" s="10"/>
      <c r="AI38" s="2">
        <f t="shared" si="0"/>
        <v>9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8.8000000000000007</v>
      </c>
      <c r="F107" s="11">
        <f t="shared" si="1"/>
        <v>8.8000000000000007</v>
      </c>
      <c r="G107" s="3">
        <f t="shared" si="1"/>
        <v>0</v>
      </c>
      <c r="H107" s="3">
        <f t="shared" si="1"/>
        <v>0</v>
      </c>
      <c r="I107" s="3">
        <f t="shared" si="1"/>
        <v>8.8000000000000007</v>
      </c>
      <c r="J107" s="3">
        <f t="shared" si="1"/>
        <v>9</v>
      </c>
      <c r="K107" s="3">
        <f t="shared" si="1"/>
        <v>8.8000000000000007</v>
      </c>
      <c r="L107" s="3">
        <f t="shared" si="1"/>
        <v>9</v>
      </c>
      <c r="M107" s="3">
        <f t="shared" si="1"/>
        <v>8.8000000000000007</v>
      </c>
      <c r="N107" s="3">
        <f t="shared" si="1"/>
        <v>0</v>
      </c>
      <c r="O107" s="3">
        <f t="shared" si="1"/>
        <v>0</v>
      </c>
      <c r="P107" s="3">
        <f t="shared" si="1"/>
        <v>9.3000000000000007</v>
      </c>
      <c r="Q107" s="3">
        <f t="shared" si="1"/>
        <v>9.5</v>
      </c>
      <c r="R107" s="3">
        <f t="shared" si="1"/>
        <v>9.5</v>
      </c>
      <c r="S107" s="3">
        <f t="shared" si="1"/>
        <v>9</v>
      </c>
      <c r="T107" s="3">
        <f t="shared" si="1"/>
        <v>5</v>
      </c>
      <c r="U107" s="3">
        <f t="shared" si="1"/>
        <v>0</v>
      </c>
      <c r="V107" s="3">
        <f t="shared" si="1"/>
        <v>0</v>
      </c>
      <c r="W107" s="3">
        <f t="shared" si="1"/>
        <v>8.8000000000000007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9.001100000000001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194.1011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D4F-A45F-4202-8724-78BCEF9C593F}">
  <dimension ref="A1:AI107"/>
  <sheetViews>
    <sheetView topLeftCell="A79" zoomScaleNormal="100" workbookViewId="0">
      <pane xSplit="3" topLeftCell="Z1" activePane="topRight" state="frozen"/>
      <selection pane="topRight" activeCell="C23" sqref="C2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6</v>
      </c>
      <c r="C7" s="8" t="s">
        <v>53</v>
      </c>
      <c r="D7" s="6"/>
      <c r="E7" s="6"/>
      <c r="F7" s="6">
        <v>6</v>
      </c>
      <c r="G7" s="4">
        <v>5</v>
      </c>
      <c r="H7" s="4">
        <v>6</v>
      </c>
      <c r="I7" s="4">
        <v>6.9010999999999996</v>
      </c>
      <c r="J7" s="4">
        <v>8.3316999999999979</v>
      </c>
      <c r="K7" s="4"/>
      <c r="L7" s="4"/>
      <c r="M7" s="4">
        <v>6.953000000000003</v>
      </c>
      <c r="N7" s="4">
        <v>7.4448000000000008</v>
      </c>
      <c r="O7" s="4">
        <v>1.490000000000002</v>
      </c>
      <c r="P7" s="4">
        <v>3</v>
      </c>
      <c r="Q7" s="4">
        <v>6</v>
      </c>
      <c r="R7" s="4"/>
      <c r="S7" s="4"/>
      <c r="T7" s="4">
        <v>7.88689999999999</v>
      </c>
      <c r="U7" s="4">
        <v>3.0294000000000096</v>
      </c>
      <c r="V7" s="4">
        <v>9.3208999999999946</v>
      </c>
      <c r="W7" s="4">
        <v>3.4089000000000027</v>
      </c>
      <c r="X7" s="4">
        <v>9.4872000000000014</v>
      </c>
      <c r="Y7" s="4"/>
      <c r="Z7" s="4"/>
      <c r="AA7" s="4">
        <v>2.9355000000000047</v>
      </c>
      <c r="AB7" s="4"/>
      <c r="AC7" s="4">
        <v>4.8747999999999934</v>
      </c>
      <c r="AD7" s="4">
        <v>6.8</v>
      </c>
      <c r="AE7" s="4">
        <v>8.8000000000000007</v>
      </c>
      <c r="AF7" s="4"/>
      <c r="AG7" s="4"/>
      <c r="AH7" s="4"/>
      <c r="AI7" s="2">
        <f t="shared" ref="AI7:AI106" si="0">SUM(D7:AH7)</f>
        <v>113.66419999999999</v>
      </c>
    </row>
    <row r="8" spans="1:35" x14ac:dyDescent="0.3">
      <c r="A8" s="24">
        <v>2</v>
      </c>
      <c r="B8" s="8" t="s">
        <v>54</v>
      </c>
      <c r="C8" s="8" t="s">
        <v>38</v>
      </c>
      <c r="D8" s="6"/>
      <c r="E8" s="6"/>
      <c r="F8" s="40">
        <v>3</v>
      </c>
      <c r="G8" s="6">
        <v>4</v>
      </c>
      <c r="H8" s="6">
        <v>1.5</v>
      </c>
      <c r="I8" s="6">
        <v>1.1000000000000001</v>
      </c>
      <c r="J8" s="6">
        <v>0.56559999999999988</v>
      </c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10.1656</v>
      </c>
    </row>
    <row r="9" spans="1:35" x14ac:dyDescent="0.3">
      <c r="A9" s="24">
        <v>3</v>
      </c>
      <c r="B9" s="8" t="s">
        <v>55</v>
      </c>
      <c r="C9" s="8" t="s">
        <v>38</v>
      </c>
      <c r="D9" s="6"/>
      <c r="E9" s="6"/>
      <c r="F9" s="40"/>
      <c r="G9" s="6"/>
      <c r="H9" s="6">
        <v>1.3</v>
      </c>
      <c r="I9" s="6">
        <v>0.5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1.8</v>
      </c>
    </row>
    <row r="10" spans="1:35" x14ac:dyDescent="0.3">
      <c r="A10" s="24">
        <v>4</v>
      </c>
      <c r="B10" s="7" t="s">
        <v>36</v>
      </c>
      <c r="C10" s="8" t="s">
        <v>38</v>
      </c>
      <c r="D10" s="6"/>
      <c r="E10" s="6"/>
      <c r="F10" s="6"/>
      <c r="G10" s="6"/>
      <c r="H10" s="6"/>
      <c r="I10" s="6">
        <v>0.5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0.5</v>
      </c>
    </row>
    <row r="11" spans="1:35" x14ac:dyDescent="0.3">
      <c r="A11" s="24">
        <v>5</v>
      </c>
      <c r="B11" s="7" t="s">
        <v>52</v>
      </c>
      <c r="C11" s="8" t="s">
        <v>56</v>
      </c>
      <c r="D11" s="6"/>
      <c r="E11" s="6"/>
      <c r="F11" s="6"/>
      <c r="G11" s="6"/>
      <c r="H11" s="6"/>
      <c r="I11" s="6"/>
      <c r="J11" s="6"/>
      <c r="K11" s="6"/>
      <c r="L11" s="6"/>
      <c r="M11" s="6">
        <v>2.375</v>
      </c>
      <c r="N11" s="40">
        <v>1.6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3.9750000000000001</v>
      </c>
    </row>
    <row r="12" spans="1:35" x14ac:dyDescent="0.3">
      <c r="A12" s="24">
        <v>6</v>
      </c>
      <c r="B12" s="7" t="s">
        <v>57</v>
      </c>
      <c r="C12" s="8" t="s">
        <v>58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0.64780000000000004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0.64780000000000004</v>
      </c>
    </row>
    <row r="13" spans="1:35" x14ac:dyDescent="0.3">
      <c r="A13" s="24">
        <v>7</v>
      </c>
      <c r="B13" s="7" t="s">
        <v>59</v>
      </c>
      <c r="C13" s="8" t="s">
        <v>60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3.3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3.3</v>
      </c>
    </row>
    <row r="14" spans="1:35" x14ac:dyDescent="0.3">
      <c r="A14" s="24">
        <v>8</v>
      </c>
      <c r="B14" s="7" t="s">
        <v>61</v>
      </c>
      <c r="C14" s="8" t="s">
        <v>62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1.1203000000000001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1.1203000000000001</v>
      </c>
    </row>
    <row r="15" spans="1:35" x14ac:dyDescent="0.3">
      <c r="A15" s="24">
        <v>9</v>
      </c>
      <c r="B15" s="7" t="s">
        <v>6</v>
      </c>
      <c r="C15" s="8" t="s">
        <v>42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2.4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2.4</v>
      </c>
    </row>
    <row r="16" spans="1:35" x14ac:dyDescent="0.3">
      <c r="A16" s="24">
        <v>10</v>
      </c>
      <c r="B16" s="7" t="s">
        <v>63</v>
      </c>
      <c r="C16" s="7" t="s">
        <v>64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6</v>
      </c>
      <c r="Q16" s="6">
        <v>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9</v>
      </c>
    </row>
    <row r="17" spans="1:35" x14ac:dyDescent="0.3">
      <c r="A17" s="24">
        <v>11</v>
      </c>
      <c r="B17" s="7" t="s">
        <v>65</v>
      </c>
      <c r="C17" s="8" t="s">
        <v>66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>
        <v>1.0939000000000001</v>
      </c>
      <c r="U17" s="6">
        <v>1.1675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2.2614000000000001</v>
      </c>
    </row>
    <row r="18" spans="1:35" x14ac:dyDescent="0.3">
      <c r="A18" s="24">
        <v>12</v>
      </c>
      <c r="B18" s="7" t="s">
        <v>67</v>
      </c>
      <c r="C18" s="8" t="s">
        <v>68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1.45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1.45</v>
      </c>
    </row>
    <row r="19" spans="1:35" x14ac:dyDescent="0.3">
      <c r="A19" s="24">
        <v>13</v>
      </c>
      <c r="B19" s="7" t="s">
        <v>69</v>
      </c>
      <c r="C19" s="8" t="s">
        <v>68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3.7227999999999999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3.7227999999999999</v>
      </c>
    </row>
    <row r="20" spans="1:35" x14ac:dyDescent="0.3">
      <c r="A20" s="24">
        <v>14</v>
      </c>
      <c r="B20" s="7" t="s">
        <v>51</v>
      </c>
      <c r="C20" s="7" t="s">
        <v>70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1.2588999999999999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1.2588999999999999</v>
      </c>
    </row>
    <row r="21" spans="1:35" x14ac:dyDescent="0.3">
      <c r="A21" s="24">
        <v>15</v>
      </c>
      <c r="B21" s="7" t="s">
        <v>65</v>
      </c>
      <c r="C21" s="8" t="s">
        <v>71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4.8369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4.8369</v>
      </c>
    </row>
    <row r="22" spans="1:35" x14ac:dyDescent="0.3">
      <c r="A22" s="24">
        <v>16</v>
      </c>
      <c r="B22" s="7" t="s">
        <v>10</v>
      </c>
      <c r="C22" s="7" t="s">
        <v>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1.1786000000000001</v>
      </c>
      <c r="AB22" s="6"/>
      <c r="AC22" s="6"/>
      <c r="AD22" s="6"/>
      <c r="AE22" s="6"/>
      <c r="AF22" s="6"/>
      <c r="AG22" s="6"/>
      <c r="AH22" s="6"/>
      <c r="AI22" s="2">
        <f t="shared" si="0"/>
        <v>1.1786000000000001</v>
      </c>
    </row>
    <row r="23" spans="1:35" x14ac:dyDescent="0.3">
      <c r="A23" s="24">
        <v>17</v>
      </c>
      <c r="B23" s="7" t="s">
        <v>65</v>
      </c>
      <c r="C23" s="7" t="s">
        <v>72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2.8018999999999998</v>
      </c>
      <c r="AB23" s="6">
        <v>5.5728000000000009</v>
      </c>
      <c r="AC23" s="6"/>
      <c r="AD23" s="6"/>
      <c r="AE23" s="6"/>
      <c r="AF23" s="6"/>
      <c r="AG23" s="6"/>
      <c r="AH23" s="6"/>
      <c r="AI23" s="2">
        <f t="shared" si="0"/>
        <v>8.3747000000000007</v>
      </c>
    </row>
    <row r="24" spans="1:35" x14ac:dyDescent="0.3">
      <c r="A24" s="24">
        <v>18</v>
      </c>
      <c r="B24" s="7" t="s">
        <v>8</v>
      </c>
      <c r="C24" s="8" t="s">
        <v>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2.1577999999999999</v>
      </c>
      <c r="AB24" s="6">
        <v>1.1061000000000001</v>
      </c>
      <c r="AC24" s="6">
        <v>2.3072000000000004</v>
      </c>
      <c r="AD24" s="6">
        <v>0.32699999999999996</v>
      </c>
      <c r="AE24" s="6"/>
      <c r="AF24" s="6"/>
      <c r="AG24" s="6"/>
      <c r="AH24" s="6"/>
      <c r="AI24" s="2">
        <f t="shared" si="0"/>
        <v>5.8981000000000003</v>
      </c>
    </row>
    <row r="25" spans="1:35" x14ac:dyDescent="0.3">
      <c r="A25" s="24">
        <v>19</v>
      </c>
      <c r="B25" s="7" t="s">
        <v>39</v>
      </c>
      <c r="C25" s="5" t="s">
        <v>47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2.2046999999999999</v>
      </c>
      <c r="AC25" s="6"/>
      <c r="AD25" s="6"/>
      <c r="AE25" s="6"/>
      <c r="AF25" s="6"/>
      <c r="AG25" s="6"/>
      <c r="AH25" s="6"/>
      <c r="AI25" s="2">
        <f t="shared" si="0"/>
        <v>2.2046999999999999</v>
      </c>
    </row>
    <row r="26" spans="1:35" x14ac:dyDescent="0.3">
      <c r="A26" s="24">
        <v>20</v>
      </c>
      <c r="B26" s="7" t="s">
        <v>73</v>
      </c>
      <c r="C26" s="8" t="s">
        <v>74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2.1257999999999999</v>
      </c>
      <c r="AD26" s="6"/>
      <c r="AE26" s="6"/>
      <c r="AF26" s="6"/>
      <c r="AG26" s="6"/>
      <c r="AH26" s="6"/>
      <c r="AI26" s="2">
        <f t="shared" si="0"/>
        <v>2.1257999999999999</v>
      </c>
    </row>
    <row r="27" spans="1:35" x14ac:dyDescent="0.3">
      <c r="A27" s="24">
        <v>21</v>
      </c>
      <c r="B27" s="7" t="s">
        <v>57</v>
      </c>
      <c r="C27" s="8" t="s">
        <v>75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1.7139</v>
      </c>
      <c r="AE27" s="6"/>
      <c r="AF27" s="6"/>
      <c r="AG27" s="6"/>
      <c r="AH27" s="6"/>
      <c r="AI27" s="2">
        <f t="shared" si="0"/>
        <v>1.7139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9</v>
      </c>
      <c r="G107" s="3">
        <f t="shared" si="1"/>
        <v>9</v>
      </c>
      <c r="H107" s="3">
        <f t="shared" si="1"/>
        <v>8.8000000000000007</v>
      </c>
      <c r="I107" s="3">
        <f t="shared" si="1"/>
        <v>9.0010999999999992</v>
      </c>
      <c r="J107" s="3">
        <f t="shared" si="1"/>
        <v>8.8972999999999978</v>
      </c>
      <c r="K107" s="3">
        <f t="shared" si="1"/>
        <v>0</v>
      </c>
      <c r="L107" s="3">
        <f t="shared" si="1"/>
        <v>0</v>
      </c>
      <c r="M107" s="3">
        <f t="shared" si="1"/>
        <v>9.328000000000003</v>
      </c>
      <c r="N107" s="3">
        <f t="shared" si="1"/>
        <v>9.0448000000000004</v>
      </c>
      <c r="O107" s="3">
        <f t="shared" si="1"/>
        <v>8.9581000000000017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8.9807999999999897</v>
      </c>
      <c r="U107" s="3">
        <f t="shared" si="1"/>
        <v>9.3697000000000106</v>
      </c>
      <c r="V107" s="3">
        <f t="shared" si="1"/>
        <v>9.3208999999999946</v>
      </c>
      <c r="W107" s="3">
        <f t="shared" si="1"/>
        <v>9.5047000000000033</v>
      </c>
      <c r="X107" s="3">
        <f t="shared" si="1"/>
        <v>9.4872000000000014</v>
      </c>
      <c r="Y107" s="3">
        <f t="shared" si="1"/>
        <v>0</v>
      </c>
      <c r="Z107" s="3">
        <f t="shared" si="1"/>
        <v>0</v>
      </c>
      <c r="AA107" s="3">
        <f t="shared" si="1"/>
        <v>9.0738000000000056</v>
      </c>
      <c r="AB107" s="3">
        <f t="shared" si="1"/>
        <v>8.8836000000000013</v>
      </c>
      <c r="AC107" s="3">
        <f t="shared" si="1"/>
        <v>9.3077999999999932</v>
      </c>
      <c r="AD107" s="3">
        <f t="shared" si="1"/>
        <v>8.8408999999999995</v>
      </c>
      <c r="AE107" s="3">
        <f t="shared" si="1"/>
        <v>8.8000000000000007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181.59870000000001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0C6-D4D6-4BD4-90F6-39954C6CBB18}">
  <dimension ref="A1:AI107"/>
  <sheetViews>
    <sheetView tabSelected="1" topLeftCell="A7" zoomScale="82" zoomScaleNormal="82" workbookViewId="0">
      <pane xSplit="3" topLeftCell="Z1" activePane="topRight" state="frozen"/>
      <selection pane="topRight" activeCell="AB12" sqref="AB12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69</v>
      </c>
      <c r="C7" s="13" t="s">
        <v>68</v>
      </c>
      <c r="D7" s="12"/>
      <c r="E7" s="4"/>
      <c r="F7" s="4"/>
      <c r="G7" s="4"/>
      <c r="H7" s="4"/>
      <c r="I7" s="4"/>
      <c r="J7" s="4">
        <v>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</v>
      </c>
    </row>
    <row r="8" spans="1:35" x14ac:dyDescent="0.3">
      <c r="A8" s="24">
        <v>2</v>
      </c>
      <c r="B8" s="7" t="s">
        <v>65</v>
      </c>
      <c r="C8" s="8" t="s">
        <v>72</v>
      </c>
      <c r="D8" s="6"/>
      <c r="E8" s="6"/>
      <c r="F8" s="6"/>
      <c r="G8" s="6"/>
      <c r="H8" s="40"/>
      <c r="I8" s="6"/>
      <c r="J8" s="6">
        <v>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40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2</v>
      </c>
    </row>
    <row r="9" spans="1:35" x14ac:dyDescent="0.3">
      <c r="A9" s="24">
        <v>3</v>
      </c>
      <c r="B9" s="8" t="s">
        <v>67</v>
      </c>
      <c r="C9" s="8" t="s">
        <v>76</v>
      </c>
      <c r="D9" s="6"/>
      <c r="E9" s="6"/>
      <c r="F9" s="40"/>
      <c r="G9" s="6"/>
      <c r="H9" s="6"/>
      <c r="I9" s="6"/>
      <c r="J9" s="6">
        <v>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0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</v>
      </c>
    </row>
    <row r="10" spans="1:35" x14ac:dyDescent="0.3">
      <c r="A10" s="24">
        <v>4</v>
      </c>
      <c r="B10" s="7" t="s">
        <v>77</v>
      </c>
      <c r="C10" s="8" t="s">
        <v>78</v>
      </c>
      <c r="D10" s="6"/>
      <c r="E10" s="6"/>
      <c r="F10" s="6"/>
      <c r="G10" s="6"/>
      <c r="H10" s="6"/>
      <c r="I10" s="6"/>
      <c r="J10" s="6">
        <v>1.0158</v>
      </c>
      <c r="K10" s="6"/>
      <c r="L10" s="6"/>
      <c r="M10" s="6"/>
      <c r="N10" s="6"/>
      <c r="O10" s="6">
        <v>2</v>
      </c>
      <c r="P10" s="6"/>
      <c r="Q10" s="6">
        <v>4.3316999999999997</v>
      </c>
      <c r="R10" s="6"/>
      <c r="S10" s="6"/>
      <c r="T10" s="6">
        <v>3.2081</v>
      </c>
      <c r="U10" s="6">
        <v>1.8593999999999991</v>
      </c>
      <c r="V10" s="6"/>
      <c r="W10" s="40">
        <v>7.1999999999999993</v>
      </c>
      <c r="X10" s="6">
        <v>0.59750000000000014</v>
      </c>
      <c r="Y10" s="6"/>
      <c r="Z10" s="6"/>
      <c r="AA10" s="6">
        <v>3.1644000000000005</v>
      </c>
      <c r="AB10" s="6"/>
      <c r="AC10" s="6">
        <v>1.3359000000000023</v>
      </c>
      <c r="AD10" s="6">
        <v>3.5535999999999994</v>
      </c>
      <c r="AE10" s="6">
        <v>3.2521999999999984</v>
      </c>
      <c r="AF10" s="6"/>
      <c r="AG10" s="6"/>
      <c r="AH10" s="6">
        <v>2.1158000000000001</v>
      </c>
      <c r="AI10" s="2">
        <f t="shared" si="0"/>
        <v>33.634399999999999</v>
      </c>
    </row>
    <row r="11" spans="1:35" x14ac:dyDescent="0.3">
      <c r="A11" s="24">
        <v>5</v>
      </c>
      <c r="B11" s="7" t="s">
        <v>6</v>
      </c>
      <c r="C11" s="44" t="s">
        <v>53</v>
      </c>
      <c r="D11" s="6"/>
      <c r="E11" s="6"/>
      <c r="F11" s="6"/>
      <c r="G11" s="6"/>
      <c r="H11" s="6"/>
      <c r="I11" s="6"/>
      <c r="J11" s="6"/>
      <c r="K11" s="6"/>
      <c r="L11" s="6"/>
      <c r="M11" s="6">
        <v>7</v>
      </c>
      <c r="N11" s="6">
        <v>4</v>
      </c>
      <c r="O11" s="6"/>
      <c r="P11" s="6"/>
      <c r="Q11" s="6"/>
      <c r="R11" s="6"/>
      <c r="S11" s="6"/>
      <c r="T11" s="6"/>
      <c r="U11" s="40">
        <v>7.1</v>
      </c>
      <c r="V11" s="6">
        <v>7.6</v>
      </c>
      <c r="W11" s="40">
        <v>2</v>
      </c>
      <c r="X11" s="6">
        <v>3</v>
      </c>
      <c r="Y11" s="6"/>
      <c r="Z11" s="6"/>
      <c r="AA11" s="6">
        <v>6</v>
      </c>
      <c r="AB11" s="6">
        <v>7.3</v>
      </c>
      <c r="AC11" s="6">
        <v>3.8254999999999768</v>
      </c>
      <c r="AD11" s="6"/>
      <c r="AE11" s="6"/>
      <c r="AF11" s="6"/>
      <c r="AG11" s="6"/>
      <c r="AH11" s="6"/>
      <c r="AI11" s="2">
        <f t="shared" si="0"/>
        <v>47.825499999999977</v>
      </c>
    </row>
    <row r="12" spans="1:35" x14ac:dyDescent="0.3">
      <c r="A12" s="24">
        <v>6</v>
      </c>
      <c r="B12" s="7" t="s">
        <v>61</v>
      </c>
      <c r="C12" s="8" t="s">
        <v>62</v>
      </c>
      <c r="D12" s="6"/>
      <c r="E12" s="6"/>
      <c r="F12" s="6"/>
      <c r="G12" s="6"/>
      <c r="H12" s="6"/>
      <c r="I12" s="6"/>
      <c r="J12" s="6"/>
      <c r="K12" s="6"/>
      <c r="L12" s="6"/>
      <c r="M12" s="6">
        <v>2</v>
      </c>
      <c r="N12" s="6">
        <v>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</v>
      </c>
    </row>
    <row r="13" spans="1:35" x14ac:dyDescent="0.3">
      <c r="A13" s="24">
        <v>7</v>
      </c>
      <c r="B13" s="7" t="s">
        <v>67</v>
      </c>
      <c r="C13" s="8" t="s">
        <v>79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42">
        <v>4.03</v>
      </c>
      <c r="O13" s="6">
        <v>1</v>
      </c>
      <c r="P13" s="6">
        <v>0.16529999999999934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5.1952999999999996</v>
      </c>
    </row>
    <row r="14" spans="1:35" x14ac:dyDescent="0.3">
      <c r="A14" s="24">
        <v>8</v>
      </c>
      <c r="B14" s="7" t="s">
        <v>67</v>
      </c>
      <c r="C14" s="8" t="s">
        <v>68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2.9603000000000002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2.9603000000000002</v>
      </c>
    </row>
    <row r="15" spans="1:35" x14ac:dyDescent="0.3">
      <c r="A15" s="24">
        <v>9</v>
      </c>
      <c r="B15" s="7" t="s">
        <v>80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3</v>
      </c>
      <c r="P15" s="6">
        <v>4.6680999999999999</v>
      </c>
      <c r="Q15" s="6">
        <v>5.2702</v>
      </c>
      <c r="R15" s="6"/>
      <c r="S15" s="6"/>
      <c r="T15" s="6">
        <v>5.1986000000000008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18.136900000000001</v>
      </c>
    </row>
    <row r="16" spans="1:35" x14ac:dyDescent="0.3">
      <c r="A16" s="24">
        <v>10</v>
      </c>
      <c r="B16" s="7" t="s">
        <v>65</v>
      </c>
      <c r="C16" s="7" t="s">
        <v>71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2.2000000000000002</v>
      </c>
      <c r="Q16" s="6"/>
      <c r="R16" s="6"/>
      <c r="S16" s="6"/>
      <c r="T16" s="6"/>
      <c r="U16" s="6"/>
      <c r="V16" s="6"/>
      <c r="W16" s="6"/>
      <c r="X16" s="6">
        <v>2.4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4.5999999999999996</v>
      </c>
    </row>
    <row r="17" spans="1:35" x14ac:dyDescent="0.3">
      <c r="A17" s="24">
        <v>11</v>
      </c>
      <c r="B17" s="7" t="s">
        <v>57</v>
      </c>
      <c r="C17" s="8" t="s">
        <v>81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0">
        <v>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</v>
      </c>
    </row>
    <row r="18" spans="1:35" x14ac:dyDescent="0.3">
      <c r="A18" s="24">
        <v>12</v>
      </c>
      <c r="B18" s="7" t="s">
        <v>63</v>
      </c>
      <c r="C18" s="8" t="s">
        <v>64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0.60609999999999964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0.60609999999999964</v>
      </c>
    </row>
    <row r="19" spans="1:35" x14ac:dyDescent="0.3">
      <c r="A19" s="24">
        <v>13</v>
      </c>
      <c r="B19" s="7" t="s">
        <v>82</v>
      </c>
      <c r="C19" s="8" t="s">
        <v>83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1.5747</v>
      </c>
      <c r="W19" s="6"/>
      <c r="X19" s="6">
        <v>0.86890000000000001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2.4436</v>
      </c>
    </row>
    <row r="20" spans="1:35" x14ac:dyDescent="0.3">
      <c r="A20" s="24">
        <v>14</v>
      </c>
      <c r="B20" s="7" t="s">
        <v>59</v>
      </c>
      <c r="C20" s="7" t="s">
        <v>60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2.1116999999999999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2.1116999999999999</v>
      </c>
    </row>
    <row r="21" spans="1:35" x14ac:dyDescent="0.3">
      <c r="A21" s="24">
        <v>15</v>
      </c>
      <c r="B21" s="7" t="s">
        <v>84</v>
      </c>
      <c r="C21" s="8" t="s">
        <v>64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2.0531000000000001</v>
      </c>
      <c r="AC21" s="6">
        <v>0.54499999999999993</v>
      </c>
      <c r="AD21" s="6">
        <v>0.73970000000000002</v>
      </c>
      <c r="AE21" s="6"/>
      <c r="AF21" s="6"/>
      <c r="AG21" s="6"/>
      <c r="AH21" s="6">
        <v>0.97659999999999991</v>
      </c>
      <c r="AI21" s="2">
        <f t="shared" si="0"/>
        <v>4.3144</v>
      </c>
    </row>
    <row r="22" spans="1:35" x14ac:dyDescent="0.3">
      <c r="A22" s="24">
        <v>16</v>
      </c>
      <c r="B22" s="7" t="s">
        <v>36</v>
      </c>
      <c r="C22" s="7" t="s">
        <v>85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3.8353000000000002</v>
      </c>
      <c r="AD22" s="6">
        <v>5.1418999999999997</v>
      </c>
      <c r="AE22" s="6">
        <v>5.5225000000000009</v>
      </c>
      <c r="AF22" s="6"/>
      <c r="AG22" s="6"/>
      <c r="AH22" s="6">
        <v>4.1292000000000009</v>
      </c>
      <c r="AI22" s="2">
        <f t="shared" si="0"/>
        <v>18.628900000000002</v>
      </c>
    </row>
    <row r="23" spans="1:35" x14ac:dyDescent="0.3">
      <c r="A23" s="24">
        <v>17</v>
      </c>
      <c r="B23" s="7" t="s">
        <v>86</v>
      </c>
      <c r="C23" s="7" t="s">
        <v>87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1.7871999999999999</v>
      </c>
      <c r="AI23" s="2">
        <f t="shared" si="0"/>
        <v>1.7871999999999999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9.0158000000000005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9.0300000000000011</v>
      </c>
      <c r="O107" s="3">
        <f t="shared" si="1"/>
        <v>8.9603000000000002</v>
      </c>
      <c r="P107" s="3">
        <f t="shared" si="1"/>
        <v>9.0334000000000003</v>
      </c>
      <c r="Q107" s="3">
        <f t="shared" si="1"/>
        <v>9.6019000000000005</v>
      </c>
      <c r="R107" s="3">
        <f t="shared" si="1"/>
        <v>0</v>
      </c>
      <c r="S107" s="3">
        <f t="shared" si="1"/>
        <v>0</v>
      </c>
      <c r="T107" s="3">
        <f t="shared" si="1"/>
        <v>9.0128000000000004</v>
      </c>
      <c r="U107" s="3">
        <f t="shared" si="1"/>
        <v>8.9593999999999987</v>
      </c>
      <c r="V107" s="3">
        <f t="shared" si="1"/>
        <v>9.1746999999999996</v>
      </c>
      <c r="W107" s="3">
        <f t="shared" si="1"/>
        <v>9.1999999999999993</v>
      </c>
      <c r="X107" s="3">
        <f t="shared" si="1"/>
        <v>8.9781000000000013</v>
      </c>
      <c r="Y107" s="3">
        <f t="shared" si="1"/>
        <v>0</v>
      </c>
      <c r="Z107" s="3">
        <f t="shared" si="1"/>
        <v>0</v>
      </c>
      <c r="AA107" s="3">
        <f t="shared" si="1"/>
        <v>9.1644000000000005</v>
      </c>
      <c r="AB107" s="3">
        <f t="shared" si="1"/>
        <v>9.3530999999999995</v>
      </c>
      <c r="AC107" s="3">
        <f t="shared" si="1"/>
        <v>9.5416999999999792</v>
      </c>
      <c r="AD107" s="3">
        <f t="shared" si="1"/>
        <v>9.4351999999999983</v>
      </c>
      <c r="AE107" s="3">
        <f t="shared" si="1"/>
        <v>8.7746999999999993</v>
      </c>
      <c r="AF107" s="3">
        <f t="shared" si="1"/>
        <v>0</v>
      </c>
      <c r="AG107" s="3">
        <f t="shared" si="1"/>
        <v>0</v>
      </c>
      <c r="AH107" s="3">
        <f t="shared" si="1"/>
        <v>9.0088000000000008</v>
      </c>
      <c r="AI107" s="1">
        <f>SUM(D107:AH107)</f>
        <v>155.24430000000001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81A-A536-445A-86C9-D8EF3330F164}">
  <dimension ref="A1:AI107"/>
  <sheetViews>
    <sheetView zoomScale="55" zoomScaleNormal="55" workbookViewId="0">
      <pane xSplit="3" topLeftCell="D1" activePane="topRight" state="frozen"/>
      <selection pane="topRight" activeCell="D7" sqref="D7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95C-7756-494A-8AB1-4999D53EE2EF}">
  <dimension ref="A1:AI107"/>
  <sheetViews>
    <sheetView zoomScale="55" zoomScaleNormal="55" workbookViewId="0">
      <pane xSplit="3" topLeftCell="D1" activePane="topRight" state="frozen"/>
      <selection pane="topRight" activeCell="H7" sqref="H7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7B1D-08DE-4578-B81D-2DD5C5D833B3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87E-7335-4D06-ADA7-61E82436ADA9}">
  <dimension ref="A1:AI107"/>
  <sheetViews>
    <sheetView topLeftCell="A2" zoomScale="55" zoomScaleNormal="55" workbookViewId="0">
      <pane xSplit="3" topLeftCell="D1" activePane="topRight" state="frozen"/>
      <selection pane="topRight" activeCell="I33" sqref="I3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3C-8FD6-4CF3-941C-214364E9B7C0}">
  <dimension ref="A1:AI107"/>
  <sheetViews>
    <sheetView zoomScale="55" zoomScaleNormal="55" workbookViewId="0">
      <pane xSplit="3" topLeftCell="D1" activePane="topRight" state="frozen"/>
      <selection pane="topRight" activeCell="D7" sqref="D7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8DA-7A1E-4A03-A99B-70F8DD7CCB4F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36B-F229-456A-B19E-7D5536BF0A4D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9AD7-8DAC-47FC-B94B-2B60D9A9DA8E}">
  <dimension ref="A1:AI107"/>
  <sheetViews>
    <sheetView topLeftCell="A2" zoomScale="55" zoomScaleNormal="55" workbookViewId="0">
      <pane xSplit="3" topLeftCell="D1" activePane="topRight" state="frozen"/>
      <selection pane="topRight" activeCell="E12" sqref="E12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A184-FCED-4D68-8D88-A92D439B74DC}">
  <dimension ref="A1:AI107"/>
  <sheetViews>
    <sheetView zoomScale="55" zoomScaleNormal="55" workbookViewId="0">
      <pane xSplit="3" topLeftCell="D1" activePane="topRight" state="frozen"/>
      <selection pane="topRight" activeCell="E7" sqref="E7"/>
    </sheetView>
  </sheetViews>
  <sheetFormatPr defaultColWidth="9.21875" defaultRowHeight="14.4" x14ac:dyDescent="0.3"/>
  <cols>
    <col min="1" max="1" width="6.21875" bestFit="1" customWidth="1"/>
    <col min="2" max="2" width="74.44140625" style="14" customWidth="1"/>
    <col min="3" max="3" width="74.5546875" style="14" customWidth="1"/>
    <col min="4" max="34" width="9.21875" style="14" customWidth="1"/>
    <col min="35" max="35" width="9.21875" customWidth="1"/>
    <col min="36" max="36" width="11" style="14" bestFit="1" customWidth="1"/>
    <col min="37" max="16384" width="9.2187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2025-03-31T21:06:29Z</dcterms:modified>
</cp:coreProperties>
</file>