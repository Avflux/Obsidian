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58CB96CE-3C7A-4502-A67B-9BF77900A88B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3630" windowWidth="29040" windowHeight="15720" tabRatio="868" activeTab="5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<sst xmlns="http://schemas.openxmlformats.org/spreadsheetml/2006/main" count="330" uniqueCount="139">
  <si>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</si>
  <si>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</si>
  <si>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</si>
  <si>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</si>
  <si>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</si>
  <si>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</si>
  <si>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</si>
  <si>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</si>
  <si>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</si>
  <si>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</si>
  <si>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</si>
  <si>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</si>
  <si>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</si>
  <si>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</si>
  <si>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</si>
  <si>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</si>
  <si>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</si>
  <si>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</si>
  <si>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</si>
  <si>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</si>
  <si>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</si>
  <si>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</si>
  <si>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</si>
  <si>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</si>
  <si>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</si>
  <si>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</si>
  <si>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</si>
  <si>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</si>
  <si>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</si>
  <si>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</si>
  <si>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</si>
  <si>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</si>
  <si>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</si>
  <si>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</si>
  <si>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</si>
  <si>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</si>
  <si>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</si>
  <si>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</si>
  <si>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</si>
  <si>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</si>
  <si>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</si>
  <si>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</si>
  <si>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</si>
  <si>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</si>
  <si>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</si>
  <si>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</si>
  <si>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</si>
  <si>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</si>
  <si>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</si>
  <si>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</si>
  <si>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</si>
  <si>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</si>
  <si>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</si>
  <si>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</si>
  <si>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</si>
  <si>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</si>
  <si>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</si>
  <si>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</si>
  <si>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</si>
  <si>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</si>
  <si>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</si>
  <si>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</si>
  <si>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</si>
  <si>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</si>
  <si>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</si>
  <si>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</si>
  <si>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</si>
  <si>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</si>
  <si>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</si>
  <si>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</si>
  <si>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</si>
  <si>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</si>
  <si>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</si>
  <si>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</si>
  <si>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</si>
  <si>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</si>
  <si>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</si>
  <si>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</si>
  <si>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</si>
  <si>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</si>
  <si>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</si>
  <si>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</si>
  <si>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</si>
  <si>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</si>
  <si>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</si>
  <si>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</si>
  <si>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</si>
  <si>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</si>
  <si>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</si>
  <si>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</si>
  <si>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</si>
  <si>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</si>
  <si>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</si>
  <si>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</si>
  <si>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</si>
  <si>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</si>
  <si>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</si>
  <si>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</si>
  <si>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</si>
  <si>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</si>
  <si>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</si>
  <si>
    <t>Siemens-PG 1023-ACD-Executivo-Elétrico-Setor 69kV--</t>
  </si>
  <si>
    <t>Eletrobras-SE Rondonópolis-SE RON_PB_TR-Básico-Elétrico-Arquitetura de Rede--</t>
  </si>
  <si>
    <t>Siemens-PG 3881-FTZ-Executivo-Elétrico-Conforme Construído--</t>
  </si>
  <si>
    <t>Eletrobras-Retrofit Serviços Auxiliares-SE Angelim II-Executivo-Elétrico-Locação de Painéis--</t>
  </si>
  <si>
    <t>Eletrobras-Retrofit Serviços Auxiliares-SE Sobradinho-Executivo-Elétrico-Diagramas Construtivos, Listas de Materiais e Fiações--</t>
  </si>
  <si>
    <t>Eletrobras-Retrofit Serviços Auxiliares-SE São João do Piauí-Executivo-Elétrico-Locação de Painéis--</t>
  </si>
  <si>
    <t xml:space="preserve">Disposição de Aparelhagem
</t>
  </si>
  <si>
    <t>Arquitetura digital</t>
  </si>
  <si>
    <t>Siemens-PG 2900-ITB-Executivo-Elétrico-Conforme Construído--</t>
  </si>
  <si>
    <t>Tabela do SGD</t>
  </si>
  <si>
    <t>Eletrobras-Retrofit Serviços Auxiliares-SE Paulo Afonso IV-Executivo-Elétrico-Locação de Painéis--</t>
  </si>
  <si>
    <t>Disposição de Painéis</t>
  </si>
  <si>
    <t>Eletrobras-Retrofit Serviços Auxiliares-SE Luiz Gonzaga-Executivo-Elétrico-Locação de Painéis--</t>
  </si>
  <si>
    <t>Disposição dos Painéis</t>
  </si>
  <si>
    <t>Unifilar SPCS</t>
  </si>
  <si>
    <t>Siemens-PG 1023-ACD-Executivo-Elétrico-Conforme Construído--</t>
  </si>
  <si>
    <t>Arquitetura Digital</t>
  </si>
  <si>
    <t>Omexom-UFV Seriemas e Rio Brilhante-SE Inocência-Executivo-Elétrico-Dossiê de Medição de Faturamento--</t>
  </si>
  <si>
    <t>Diagrama Unifitar</t>
  </si>
  <si>
    <t>Eletrobras-Retrofit Serviços Auxiliares-SE Olindina-Executivo-Elétrico-Levantamento de Campo--</t>
  </si>
  <si>
    <t>Diagrama Unifilar</t>
  </si>
  <si>
    <t>Festa de Comemoração 35 Anos</t>
  </si>
  <si>
    <t>Power China-UFV Mauriti-SE Mauriti-Executivo-Elétrico-Conforme Contruído--</t>
  </si>
  <si>
    <t>Eletrobras-Russas II_Cauípe_Acaraú II-SE Russas II-Básico-Elétrico-Levantamento de Campo--</t>
  </si>
  <si>
    <t>Eletrobras-Retrofit Serviços Auxiliares-SE Camaçari II-Executivo-Elétrico-Locação de Painéis--</t>
  </si>
  <si>
    <t>Diagrama Unililar de Proteção</t>
  </si>
  <si>
    <t>Diagrama unifilar  de Proteção</t>
  </si>
  <si>
    <t>Diagrama Uinifilar de Proteção</t>
  </si>
  <si>
    <t>Eletrobras-Pré leilão 004_2025-Lote 2-Básico-Elétrico-Unifilar de Proteção--</t>
  </si>
  <si>
    <t>Eletrobras-Pré leilão 004_2025-Lote 6-Básico-Elétrico-Unifilar de Proteção--</t>
  </si>
  <si>
    <t>Eletrobras-Pré leilão 004_2025-Lote 11-Básico-Elétrico-Unifilar de Proteção--</t>
  </si>
  <si>
    <t>Eletrobras-Pré leilão 004_2025-Lote 8-Básico-Elétrico-Unifilar de Proteção--</t>
  </si>
  <si>
    <t>Eletrobras-Pré leilão 004_2025-Lote 10-Básico-Elétrico-Unifilar de Proteção--</t>
  </si>
  <si>
    <t>Eletrobras-Pré leilão 004_2025-Lote 9-Básico-Elétrico-Unifilar de Proteção--</t>
  </si>
  <si>
    <t>Eletobras-Pré leilão 004_2025-Lote 8-Básico-Elétrico-Unifilar de Proteção--</t>
  </si>
  <si>
    <t>Eletobras-Pré leilão 04_2025-Lote 6-Básico-Elétrico-Unifilar de Proteção--</t>
  </si>
  <si>
    <t>Eletrobras-Russa II_Cauípe_Acaraú II-SE Russas II-Básico-Elétrico-Levantamento de Campo--</t>
  </si>
  <si>
    <t>Eletrobras-Pré leilão 04_2025-Lote 9-Básico-Elétrico-Unifilar de Proteção--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</si>
</sst>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Normal="100" workbookViewId="0">
      <pane xSplit="3" topLeftCell="Z1" activePane="topRight" state="frozen"/>
      <selection pane="topRight" activeCell="B8" sqref="B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123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54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55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56</v>
      </c>
      <c r="C12" s="8" t="s">
        <v>57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58</v>
      </c>
      <c r="C13" s="8" t="s">
        <v>59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60</v>
      </c>
      <c r="C14" s="8" t="s">
        <v>61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62</v>
      </c>
      <c r="C16" s="7" t="s">
        <v>63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64</v>
      </c>
      <c r="C17" s="8" t="s">
        <v>65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66</v>
      </c>
      <c r="C18" s="8" t="s">
        <v>67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68</v>
      </c>
      <c r="C19" s="8" t="s">
        <v>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69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64</v>
      </c>
      <c r="C21" s="8" t="s">
        <v>70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64</v>
      </c>
      <c r="C23" s="7" t="s">
        <v>71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72</v>
      </c>
      <c r="C26" s="8" t="s">
        <v>73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56</v>
      </c>
      <c r="C27" s="8" t="s">
        <v>74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topLeftCell="A7"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68</v>
      </c>
      <c r="C7" s="13" t="s">
        <v>67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64</v>
      </c>
      <c r="C8" s="8" t="s">
        <v>71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66</v>
      </c>
      <c r="C9" s="8" t="s">
        <v>75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76</v>
      </c>
      <c r="C10" s="8" t="s">
        <v>77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60</v>
      </c>
      <c r="C12" s="8" t="s">
        <v>61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66</v>
      </c>
      <c r="C13" s="8" t="s">
        <v>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66</v>
      </c>
      <c r="C14" s="8" t="s">
        <v>67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79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64</v>
      </c>
      <c r="C16" s="7" t="s">
        <v>70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56</v>
      </c>
      <c r="C17" s="8" t="s">
        <v>80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62</v>
      </c>
      <c r="C18" s="8" t="s">
        <v>63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81</v>
      </c>
      <c r="C19" s="8" t="s">
        <v>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58</v>
      </c>
      <c r="C20" s="7" t="s">
        <v>59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83</v>
      </c>
      <c r="C21" s="8" t="s">
        <v>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85</v>
      </c>
      <c r="C23" s="7" t="s">
        <v>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76</v>
      </c>
      <c r="C7" s="13" t="s">
        <v>87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85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88</v>
      </c>
      <c r="C9" s="8" t="s">
        <v>89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90</v>
      </c>
      <c r="C10" s="8" t="s">
        <v>91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56</v>
      </c>
      <c r="C11" s="8" t="s">
        <v>92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60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93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94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97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68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94</v>
      </c>
      <c r="C19" s="8" t="s">
        <v>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opLeftCell="A2" zoomScale="130" zoomScaleNormal="130" workbookViewId="0">
      <pane xSplit="3" topLeftCell="AD1" activePane="topRight" state="frozen"/>
      <selection pane="topRight" activeCell="B24" sqref="B2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94</v>
      </c>
      <c r="C7" s="13" t="s">
        <v>99</v>
      </c>
      <c r="D7" s="12"/>
      <c r="E7" s="4">
        <v>4.5154999999999994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4.5154999999999994</v>
      </c>
    </row>
    <row r="8" spans="1:35" x14ac:dyDescent="0.3">
      <c r="A8" s="24">
        <v>2</v>
      </c>
      <c r="B8" s="7" t="s">
        <v>94</v>
      </c>
      <c r="C8" s="8" t="s">
        <v>37</v>
      </c>
      <c r="D8" s="6"/>
      <c r="E8" s="6">
        <v>4.9619</v>
      </c>
      <c r="F8" s="6"/>
      <c r="G8" s="6"/>
      <c r="H8" s="40"/>
      <c r="I8" s="6"/>
      <c r="J8" s="6"/>
      <c r="K8" s="6"/>
      <c r="L8" s="6"/>
      <c r="M8" s="6"/>
      <c r="N8" s="6"/>
      <c r="O8" s="6">
        <v>5.6698000000000004</v>
      </c>
      <c r="P8" s="6">
        <v>3.5282999999999998</v>
      </c>
      <c r="Q8" s="6"/>
      <c r="R8" s="6">
        <v>4.4189000000000007</v>
      </c>
      <c r="S8" s="6">
        <v>7.3254999999999981</v>
      </c>
      <c r="T8" s="6"/>
      <c r="U8" s="6"/>
      <c r="V8" s="6">
        <v>8.8612000000000002</v>
      </c>
      <c r="W8" s="6">
        <v>9.2760999999999996</v>
      </c>
      <c r="X8" s="6">
        <v>2.2972000000000037</v>
      </c>
      <c r="Y8" s="6">
        <v>3.2188999999999979</v>
      </c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49.5578</v>
      </c>
    </row>
    <row r="9" spans="1:35" x14ac:dyDescent="0.3">
      <c r="A9" s="24">
        <v>3</v>
      </c>
      <c r="B9" s="8" t="s">
        <v>93</v>
      </c>
      <c r="C9" s="8" t="s">
        <v>28</v>
      </c>
      <c r="D9" s="6"/>
      <c r="E9" s="6"/>
      <c r="F9" s="40"/>
      <c r="G9" s="6"/>
      <c r="H9" s="6">
        <v>3.8489000000000004</v>
      </c>
      <c r="I9" s="6">
        <v>1.3299999999999983</v>
      </c>
      <c r="J9" s="6"/>
      <c r="K9" s="6">
        <v>1.0520000000000067</v>
      </c>
      <c r="L9" s="6">
        <v>3.0063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7.3</v>
      </c>
      <c r="AG9" s="6">
        <v>9.5180999999999898</v>
      </c>
      <c r="AH9" s="6"/>
      <c r="AI9" s="2">
        <f t="shared" si="0"/>
        <v>26.055299999999995</v>
      </c>
    </row>
    <row r="10" spans="1:35" x14ac:dyDescent="0.3">
      <c r="A10" s="24">
        <v>4</v>
      </c>
      <c r="B10" s="7" t="s">
        <v>101</v>
      </c>
      <c r="C10" s="8" t="s">
        <v>28</v>
      </c>
      <c r="D10" s="6"/>
      <c r="E10" s="6"/>
      <c r="F10" s="6"/>
      <c r="G10" s="6"/>
      <c r="H10" s="6">
        <v>3.2139000000000002</v>
      </c>
      <c r="I10" s="6">
        <v>1.6313999999999997</v>
      </c>
      <c r="J10" s="6">
        <v>4.8208000000000002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9.6661000000000001</v>
      </c>
    </row>
    <row r="11" spans="1:35" x14ac:dyDescent="0.3">
      <c r="A11" s="24">
        <v>5</v>
      </c>
      <c r="B11" s="7" t="s">
        <v>102</v>
      </c>
      <c r="C11" s="8" t="s">
        <v>22</v>
      </c>
      <c r="D11" s="6"/>
      <c r="E11" s="6"/>
      <c r="F11" s="6"/>
      <c r="G11" s="6"/>
      <c r="H11" s="6">
        <v>2.0407999999999999</v>
      </c>
      <c r="I11" s="6">
        <v>3.3948</v>
      </c>
      <c r="J11" s="6"/>
      <c r="K11" s="6"/>
      <c r="L11" s="6">
        <v>3.5676999999999994</v>
      </c>
      <c r="M11" s="6"/>
      <c r="N11" s="6"/>
      <c r="O11" s="6"/>
      <c r="P11" s="6">
        <v>2.0634000000000015</v>
      </c>
      <c r="Q11" s="6">
        <v>3.4018999999999995</v>
      </c>
      <c r="R11" s="6">
        <v>0.88889999999999958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15.3575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>
        <v>2.7392000000000003</v>
      </c>
      <c r="J12" s="6">
        <v>0.39579999999999771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3.134999999999998</v>
      </c>
    </row>
    <row r="13" spans="1:35" x14ac:dyDescent="0.3">
      <c r="A13" s="24">
        <v>7</v>
      </c>
      <c r="B13" s="7" t="s">
        <v>103</v>
      </c>
      <c r="C13" s="8" t="s">
        <v>28</v>
      </c>
      <c r="D13" s="6"/>
      <c r="E13" s="6"/>
      <c r="F13" s="6"/>
      <c r="G13" s="6"/>
      <c r="H13" s="6"/>
      <c r="I13" s="6"/>
      <c r="J13" s="6">
        <v>3.8694000000000002</v>
      </c>
      <c r="K13" s="6">
        <v>8.5213999999999999</v>
      </c>
      <c r="L13" s="6">
        <v>2.6024999999999991</v>
      </c>
      <c r="M13" s="6"/>
      <c r="N13" s="6"/>
      <c r="O13" s="6">
        <v>3.5614000000000008</v>
      </c>
      <c r="P13" s="6"/>
      <c r="Q13" s="6"/>
      <c r="R13" s="6">
        <v>4.32</v>
      </c>
      <c r="S13" s="6">
        <v>1.4394999999999989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24.3142</v>
      </c>
    </row>
    <row r="14" spans="1:35" x14ac:dyDescent="0.3">
      <c r="A14" s="24">
        <v>8</v>
      </c>
      <c r="B14" s="7" t="s">
        <v>88</v>
      </c>
      <c r="C14" s="8" t="s">
        <v>89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0.67499999999999716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0.67499999999999716</v>
      </c>
    </row>
    <row r="15" spans="1:35" x14ac:dyDescent="0.3">
      <c r="A15" s="24">
        <v>9</v>
      </c>
      <c r="B15" s="7" t="s">
        <v>36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0.19499999999999995</v>
      </c>
      <c r="Q15" s="6">
        <v>5.8930999999999996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6.0880999999999998</v>
      </c>
    </row>
    <row r="16" spans="1:35" x14ac:dyDescent="0.3">
      <c r="A16" s="24">
        <v>10</v>
      </c>
      <c r="B16" s="7" t="s">
        <v>104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6.9881000000000002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6.9881000000000002</v>
      </c>
    </row>
    <row r="17" spans="1:35" x14ac:dyDescent="0.3">
      <c r="A17" s="24">
        <v>11</v>
      </c>
      <c r="B17" s="7" t="s">
        <v>105</v>
      </c>
      <c r="C17" s="8" t="s">
        <v>98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5.8110999999999997</v>
      </c>
      <c r="Z17" s="6">
        <v>8.9922000000000004</v>
      </c>
      <c r="AA17" s="6"/>
      <c r="AB17" s="6"/>
      <c r="AC17" s="6"/>
      <c r="AD17" s="6"/>
      <c r="AE17" s="6"/>
      <c r="AF17" s="6"/>
      <c r="AG17" s="6"/>
      <c r="AH17" s="6"/>
      <c r="AI17" s="2">
        <f t="shared" si="0"/>
        <v>14.8033</v>
      </c>
    </row>
    <row r="18" spans="1:35" x14ac:dyDescent="0.3">
      <c r="A18" s="24">
        <v>12</v>
      </c>
      <c r="B18" s="7" t="s">
        <v>106</v>
      </c>
      <c r="C18" s="8" t="s">
        <v>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ht="26.4" x14ac:dyDescent="0.3">
      <c r="A19" s="24">
        <v>13</v>
      </c>
      <c r="B19" s="7" t="s">
        <v>106</v>
      </c>
      <c r="C19" s="5" t="s">
        <v>107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</v>
      </c>
      <c r="AD19" s="6">
        <v>4</v>
      </c>
      <c r="AE19" s="6"/>
      <c r="AF19" s="6"/>
      <c r="AG19" s="6"/>
      <c r="AH19" s="6"/>
      <c r="AI19" s="2">
        <f t="shared" si="0"/>
        <v>13</v>
      </c>
    </row>
    <row r="20" spans="1:35" x14ac:dyDescent="0.3">
      <c r="A20" s="24">
        <v>14</v>
      </c>
      <c r="B20" s="8" t="s">
        <v>129</v>
      </c>
      <c r="C20" s="7" t="s">
        <v>37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3</v>
      </c>
      <c r="AE20" s="6">
        <v>2.7893999999999997</v>
      </c>
      <c r="AF20" s="6">
        <v>2</v>
      </c>
      <c r="AG20" s="6"/>
      <c r="AH20" s="6"/>
      <c r="AI20" s="2">
        <f t="shared" si="0"/>
        <v>7.7893999999999997</v>
      </c>
    </row>
    <row r="21" spans="1:35" x14ac:dyDescent="0.3">
      <c r="A21" s="24">
        <v>15</v>
      </c>
      <c r="B21" s="8" t="s">
        <v>129</v>
      </c>
      <c r="C21" s="8" t="s">
        <v>108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2</v>
      </c>
      <c r="AE21" s="6"/>
      <c r="AF21" s="6"/>
      <c r="AG21" s="6"/>
      <c r="AH21" s="6"/>
      <c r="AI21" s="2">
        <f t="shared" si="0"/>
        <v>2</v>
      </c>
    </row>
    <row r="22" spans="1:35" x14ac:dyDescent="0.3">
      <c r="A22" s="24">
        <v>16</v>
      </c>
      <c r="B22" s="8" t="s">
        <v>130</v>
      </c>
      <c r="C22" s="7" t="s">
        <v>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3.6255999999999999</v>
      </c>
      <c r="AF22" s="6"/>
      <c r="AG22" s="6"/>
      <c r="AH22" s="6"/>
      <c r="AI22" s="2">
        <f t="shared" si="0"/>
        <v>3.6255999999999999</v>
      </c>
    </row>
    <row r="23" spans="1:35" x14ac:dyDescent="0.3">
      <c r="A23" s="24">
        <v>17</v>
      </c>
      <c r="B23" s="7" t="s">
        <v>109</v>
      </c>
      <c r="C23" s="7" t="s">
        <v>110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3</v>
      </c>
      <c r="AF23" s="6"/>
      <c r="AG23" s="6"/>
      <c r="AH23" s="6"/>
      <c r="AI23" s="2">
        <f t="shared" si="0"/>
        <v>3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9.4773999999999994</v>
      </c>
      <c r="F107" s="11">
        <f t="shared" si="1"/>
        <v>0</v>
      </c>
      <c r="G107" s="3">
        <f t="shared" si="1"/>
        <v>0</v>
      </c>
      <c r="H107" s="3">
        <f t="shared" si="1"/>
        <v>9.1036000000000001</v>
      </c>
      <c r="I107" s="3">
        <f t="shared" si="1"/>
        <v>9.0953999999999979</v>
      </c>
      <c r="J107" s="3">
        <f t="shared" si="1"/>
        <v>9.0859999999999985</v>
      </c>
      <c r="K107" s="3">
        <f t="shared" si="1"/>
        <v>9.5734000000000066</v>
      </c>
      <c r="L107" s="3">
        <f t="shared" si="1"/>
        <v>9.176499999999999</v>
      </c>
      <c r="M107" s="3">
        <f t="shared" si="1"/>
        <v>0</v>
      </c>
      <c r="N107" s="3">
        <f t="shared" si="1"/>
        <v>0</v>
      </c>
      <c r="O107" s="3">
        <f t="shared" si="1"/>
        <v>9.2312000000000012</v>
      </c>
      <c r="P107" s="3">
        <f t="shared" si="1"/>
        <v>6.4616999999999987</v>
      </c>
      <c r="Q107" s="3">
        <f t="shared" si="1"/>
        <v>9.2949999999999982</v>
      </c>
      <c r="R107" s="3">
        <f t="shared" si="1"/>
        <v>9.6278000000000006</v>
      </c>
      <c r="S107" s="3">
        <f t="shared" si="1"/>
        <v>8.764999999999997</v>
      </c>
      <c r="T107" s="3">
        <f t="shared" si="1"/>
        <v>0</v>
      </c>
      <c r="U107" s="3">
        <f t="shared" si="1"/>
        <v>0</v>
      </c>
      <c r="V107" s="3">
        <f t="shared" si="1"/>
        <v>8.8612000000000002</v>
      </c>
      <c r="W107" s="3">
        <f t="shared" si="1"/>
        <v>9.2760999999999996</v>
      </c>
      <c r="X107" s="3">
        <f t="shared" si="1"/>
        <v>9.285300000000003</v>
      </c>
      <c r="Y107" s="3">
        <f t="shared" si="1"/>
        <v>9.0299999999999976</v>
      </c>
      <c r="Z107" s="3">
        <f t="shared" si="1"/>
        <v>8.9922000000000004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9.4149999999999991</v>
      </c>
      <c r="AF107" s="3">
        <f t="shared" si="1"/>
        <v>9.3000000000000007</v>
      </c>
      <c r="AG107" s="3">
        <f t="shared" si="1"/>
        <v>9.5180999999999898</v>
      </c>
      <c r="AH107" s="3">
        <f t="shared" si="1"/>
        <v>0</v>
      </c>
      <c r="AI107" s="1">
        <f>SUM(D107:AH107)</f>
        <v>190.57089999999999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tabSelected="1" zoomScaleNormal="100" workbookViewId="0">
      <pane xSplit="3" topLeftCell="Y1" activePane="topRight" state="frozen"/>
      <selection pane="topRight" activeCell="AD28" sqref="AD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</v>
      </c>
      <c r="C7" s="13" t="s">
        <v>53</v>
      </c>
      <c r="D7" s="12"/>
      <c r="E7" s="4">
        <v>1.45</v>
      </c>
      <c r="F7" s="4">
        <v>1.6</v>
      </c>
      <c r="G7" s="4">
        <v>5</v>
      </c>
      <c r="H7" s="4">
        <v>7.6</v>
      </c>
      <c r="I7" s="4"/>
      <c r="J7" s="4"/>
      <c r="K7" s="4"/>
      <c r="L7" s="4"/>
      <c r="M7" s="4"/>
      <c r="N7" s="4">
        <v>9.1999999999999993</v>
      </c>
      <c r="O7" s="4">
        <v>3.8</v>
      </c>
      <c r="P7" s="4">
        <v>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>
        <v>1.6</v>
      </c>
      <c r="AD7" s="4">
        <v>2</v>
      </c>
      <c r="AE7" s="4"/>
      <c r="AF7" s="4"/>
      <c r="AG7" s="4"/>
      <c r="AH7" s="4"/>
      <c r="AI7" s="2">
        <f t="shared" ref="AI7:AI106" si="0">SUM(D7:AH7)</f>
        <v>35.25</v>
      </c>
    </row>
    <row r="8" spans="1:35" x14ac:dyDescent="0.3">
      <c r="A8" s="24">
        <v>2</v>
      </c>
      <c r="B8" s="7" t="s">
        <v>111</v>
      </c>
      <c r="C8" s="8" t="s">
        <v>112</v>
      </c>
      <c r="D8" s="6"/>
      <c r="E8" s="6">
        <v>7.7233000000000001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7.7233000000000001</v>
      </c>
    </row>
    <row r="9" spans="1:35" x14ac:dyDescent="0.3">
      <c r="A9" s="24">
        <v>3</v>
      </c>
      <c r="B9" s="8" t="s">
        <v>109</v>
      </c>
      <c r="C9" s="8" t="s">
        <v>28</v>
      </c>
      <c r="D9" s="6"/>
      <c r="E9" s="6"/>
      <c r="F9" s="6">
        <v>7.4131</v>
      </c>
      <c r="G9" s="6">
        <v>4.5046999999999997</v>
      </c>
      <c r="H9" s="6"/>
      <c r="I9" s="6"/>
      <c r="J9" s="6"/>
      <c r="K9" s="6"/>
      <c r="L9" s="6"/>
      <c r="M9" s="6"/>
      <c r="N9" s="6"/>
      <c r="O9" s="6">
        <v>1.6129999999999995</v>
      </c>
      <c r="P9" s="6">
        <v>4.4316999999999993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17.962499999999999</v>
      </c>
    </row>
    <row r="10" spans="1:35" x14ac:dyDescent="0.3">
      <c r="A10" s="24">
        <v>4</v>
      </c>
      <c r="B10" s="7" t="s">
        <v>103</v>
      </c>
      <c r="C10" s="8" t="s">
        <v>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1.8</v>
      </c>
      <c r="T10" s="6">
        <v>2</v>
      </c>
      <c r="U10" s="6">
        <v>2</v>
      </c>
      <c r="V10" s="6">
        <v>0.2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7" t="s">
        <v>113</v>
      </c>
      <c r="C11" s="8" t="s">
        <v>114</v>
      </c>
      <c r="D11" s="6"/>
      <c r="E11" s="6"/>
      <c r="F11" s="6"/>
      <c r="G11" s="6"/>
      <c r="H11" s="6">
        <v>1.8669</v>
      </c>
      <c r="I11" s="6">
        <v>4.3037000000000001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6.1706000000000003</v>
      </c>
    </row>
    <row r="12" spans="1:35" x14ac:dyDescent="0.3">
      <c r="A12" s="24">
        <v>6</v>
      </c>
      <c r="B12" s="8" t="s">
        <v>129</v>
      </c>
      <c r="C12" s="8" t="s">
        <v>115</v>
      </c>
      <c r="D12" s="6"/>
      <c r="E12" s="6"/>
      <c r="F12" s="6"/>
      <c r="G12" s="6"/>
      <c r="H12" s="6"/>
      <c r="I12" s="6"/>
      <c r="J12" s="6"/>
      <c r="K12" s="6"/>
      <c r="L12" s="6">
        <v>2.21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2.21</v>
      </c>
    </row>
    <row r="13" spans="1:35" x14ac:dyDescent="0.3">
      <c r="A13" s="24">
        <v>7</v>
      </c>
      <c r="B13" s="7" t="s">
        <v>116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6.7728000000000002</v>
      </c>
      <c r="M13" s="6">
        <v>1.6186000000000007</v>
      </c>
      <c r="N13" s="6"/>
      <c r="O13" s="6"/>
      <c r="P13" s="6"/>
      <c r="Q13" s="6"/>
      <c r="R13" s="6"/>
      <c r="S13" s="6"/>
      <c r="T13" s="6">
        <v>1.3024999999999984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9.6938999999999993</v>
      </c>
    </row>
    <row r="14" spans="1:35" x14ac:dyDescent="0.3">
      <c r="A14" s="24">
        <v>8</v>
      </c>
      <c r="B14" s="8" t="s">
        <v>131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>
        <v>4.8</v>
      </c>
      <c r="N14" s="6"/>
      <c r="O14" s="6"/>
      <c r="P14" s="6"/>
      <c r="Q14" s="6"/>
      <c r="R14" s="6"/>
      <c r="S14" s="6"/>
      <c r="T14" s="6"/>
      <c r="U14" s="6">
        <v>0.65890000000000004</v>
      </c>
      <c r="V14" s="6">
        <v>0.75890000000000057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6.2178000000000004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</v>
      </c>
    </row>
    <row r="16" spans="1:35" x14ac:dyDescent="0.3">
      <c r="A16" s="24">
        <v>10</v>
      </c>
      <c r="B16" s="7" t="s">
        <v>94</v>
      </c>
      <c r="C16" s="7" t="s">
        <v>95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</v>
      </c>
    </row>
    <row r="17" spans="1:35" x14ac:dyDescent="0.3">
      <c r="A17" s="24">
        <v>11</v>
      </c>
      <c r="B17" s="8" t="s">
        <v>132</v>
      </c>
      <c r="C17" s="8" t="s">
        <v>117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1.7756000000000001</v>
      </c>
      <c r="Q17" s="6"/>
      <c r="R17" s="6"/>
      <c r="S17" s="6">
        <v>2.1688000000000001</v>
      </c>
      <c r="T17" s="6">
        <v>0.13780000000000037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4.0822000000000003</v>
      </c>
    </row>
    <row r="18" spans="1:35" x14ac:dyDescent="0.3">
      <c r="A18" s="24">
        <v>12</v>
      </c>
      <c r="B18" s="7" t="s">
        <v>118</v>
      </c>
      <c r="C18" s="8" t="s">
        <v>119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1.7239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1.7239</v>
      </c>
    </row>
    <row r="19" spans="1:35" x14ac:dyDescent="0.3">
      <c r="A19" s="24">
        <v>13</v>
      </c>
      <c r="B19" s="7" t="s">
        <v>120</v>
      </c>
      <c r="C19" s="8" t="s">
        <v>112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3.5783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3.5783</v>
      </c>
    </row>
    <row r="20" spans="1:35" x14ac:dyDescent="0.3">
      <c r="A20" s="24">
        <v>14</v>
      </c>
      <c r="B20" s="8" t="s">
        <v>133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5.7042000000000002</v>
      </c>
      <c r="U20" s="6">
        <v>4.8926999999999996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10.5969</v>
      </c>
    </row>
    <row r="21" spans="1:35" x14ac:dyDescent="0.3">
      <c r="A21" s="24">
        <v>15</v>
      </c>
      <c r="B21" s="7" t="s">
        <v>106</v>
      </c>
      <c r="C21" s="8" t="s">
        <v>114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1.7778</v>
      </c>
      <c r="V21" s="6">
        <v>3.6540999999999997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5.4318999999999997</v>
      </c>
    </row>
    <row r="22" spans="1:35" x14ac:dyDescent="0.3">
      <c r="A22" s="24">
        <v>16</v>
      </c>
      <c r="B22" s="7" t="s">
        <v>56</v>
      </c>
      <c r="C22" s="7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1.0767</v>
      </c>
    </row>
    <row r="23" spans="1:35" x14ac:dyDescent="0.3">
      <c r="A23" s="24">
        <v>17</v>
      </c>
      <c r="B23" s="8" t="s">
        <v>124</v>
      </c>
      <c r="C23" s="7" t="s">
        <v>114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3.4003000000000001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3.4003000000000001</v>
      </c>
    </row>
    <row r="24" spans="1:35" x14ac:dyDescent="0.3">
      <c r="A24" s="24">
        <v>18</v>
      </c>
      <c r="B24" s="8" t="s">
        <v>133</v>
      </c>
      <c r="C24" s="8" t="s">
        <v>121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3</v>
      </c>
    </row>
    <row r="25" spans="1:35" x14ac:dyDescent="0.3">
      <c r="A25" s="24">
        <v>19</v>
      </c>
      <c r="B25" s="7" t="s">
        <v>125</v>
      </c>
      <c r="C25" s="5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</v>
      </c>
      <c r="X25" s="6"/>
      <c r="Y25" s="6"/>
      <c r="Z25" s="6">
        <v>5.5399999999999991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8.5399999999999991</v>
      </c>
    </row>
    <row r="26" spans="1:35" x14ac:dyDescent="0.3">
      <c r="A26" s="24">
        <v>20</v>
      </c>
      <c r="B26" s="8" t="s">
        <v>124</v>
      </c>
      <c r="C26" s="8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>
        <v>1.8081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1.8081</v>
      </c>
    </row>
    <row r="27" spans="1:35" x14ac:dyDescent="0.3">
      <c r="A27" s="24">
        <v>21</v>
      </c>
      <c r="B27" s="8" t="s">
        <v>132</v>
      </c>
      <c r="C27" s="8" t="s">
        <v>127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1.36</v>
      </c>
      <c r="X27" s="6"/>
      <c r="Y27" s="6"/>
      <c r="Z27" s="6">
        <v>0.35309999999999997</v>
      </c>
      <c r="AA27" s="6"/>
      <c r="AB27" s="6"/>
      <c r="AC27" s="6"/>
      <c r="AD27" s="6"/>
      <c r="AE27" s="6"/>
      <c r="AF27" s="6"/>
      <c r="AG27" s="6"/>
      <c r="AH27" s="6"/>
      <c r="AI27" s="2">
        <f t="shared" si="0"/>
        <v>1.7131000000000001</v>
      </c>
    </row>
    <row r="28" spans="1:35" x14ac:dyDescent="0.3">
      <c r="A28" s="24">
        <v>22</v>
      </c>
      <c r="B28" s="8" t="s">
        <v>129</v>
      </c>
      <c r="C28" s="8" t="s">
        <v>115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3.3567</v>
      </c>
      <c r="AA28" s="6"/>
      <c r="AB28" s="6"/>
      <c r="AC28" s="6"/>
      <c r="AD28" s="6"/>
      <c r="AE28" s="6"/>
      <c r="AF28" s="6"/>
      <c r="AG28" s="6"/>
      <c r="AH28" s="6"/>
      <c r="AI28" s="2">
        <f t="shared" si="0"/>
        <v>3.3567</v>
      </c>
    </row>
    <row r="29" spans="1:35" x14ac:dyDescent="0.3">
      <c r="A29" s="24">
        <v>23</v>
      </c>
      <c r="B29" s="8" t="s">
        <v>134</v>
      </c>
      <c r="C29" s="8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2.0438999999999998</v>
      </c>
      <c r="AA29" s="6"/>
      <c r="AB29" s="6">
        <v>6.942800000000001</v>
      </c>
      <c r="AC29" s="6"/>
      <c r="AD29" s="6">
        <v>1.7518999999999991</v>
      </c>
      <c r="AE29" s="6"/>
      <c r="AF29" s="6"/>
      <c r="AG29" s="6"/>
      <c r="AH29" s="6"/>
      <c r="AI29" s="2">
        <f t="shared" si="0"/>
        <v>10.7386</v>
      </c>
    </row>
    <row r="30" spans="1:35" x14ac:dyDescent="0.3">
      <c r="A30" s="24">
        <v>24</v>
      </c>
      <c r="B30" s="8" t="s">
        <v>129</v>
      </c>
      <c r="C30" s="5" t="s">
        <v>115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2.4</v>
      </c>
      <c r="AC30" s="6"/>
      <c r="AD30" s="6"/>
      <c r="AE30" s="6"/>
      <c r="AF30" s="6"/>
      <c r="AG30" s="6"/>
      <c r="AH30" s="6"/>
      <c r="AI30" s="2">
        <f t="shared" si="0"/>
        <v>2.4</v>
      </c>
    </row>
    <row r="31" spans="1:35" x14ac:dyDescent="0.3">
      <c r="A31" s="24">
        <v>25</v>
      </c>
      <c r="B31" s="8" t="s">
        <v>135</v>
      </c>
      <c r="C31" s="8" t="s">
        <v>127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>
        <v>7.9607999999999999</v>
      </c>
      <c r="AD31" s="6">
        <v>5.5180999999999996</v>
      </c>
      <c r="AE31" s="6"/>
      <c r="AF31" s="6"/>
      <c r="AG31" s="6"/>
      <c r="AH31" s="6"/>
      <c r="AI31" s="2">
        <f t="shared" si="0"/>
        <v>13.478899999999999</v>
      </c>
    </row>
    <row r="32" spans="1:35" x14ac:dyDescent="0.3">
      <c r="A32" s="24">
        <v>26</v>
      </c>
      <c r="B32" s="7" t="s">
        <v>136</v>
      </c>
      <c r="C32" s="7" t="s">
        <v>95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4</v>
      </c>
      <c r="AH32" s="6"/>
      <c r="AI32" s="2">
        <f t="shared" si="0"/>
        <v>4</v>
      </c>
    </row>
    <row r="33" spans="1:35" x14ac:dyDescent="0.3">
      <c r="A33" s="24">
        <v>27</v>
      </c>
      <c r="B33" s="7" t="s">
        <v>137</v>
      </c>
      <c r="C33" s="7" t="s">
        <v>126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2.4256000000000002</v>
      </c>
      <c r="AH33" s="6"/>
      <c r="AI33" s="2">
        <f t="shared" si="0"/>
        <v>2.4256000000000002</v>
      </c>
    </row>
    <row r="34" spans="1:35" x14ac:dyDescent="0.3">
      <c r="A34" s="24">
        <v>28</v>
      </c>
      <c r="B34" s="7" t="s">
        <v>138</v>
      </c>
      <c r="C34" s="7" t="s">
        <v>128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</v>
      </c>
      <c r="AH34" s="6"/>
      <c r="AI34" s="2">
        <f t="shared" si="0"/>
        <v>3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9.1732999999999993</v>
      </c>
      <c r="F107" s="11">
        <f t="shared" si="1"/>
        <v>9.0130999999999997</v>
      </c>
      <c r="G107" s="3">
        <f t="shared" si="1"/>
        <v>9.5046999999999997</v>
      </c>
      <c r="H107" s="3">
        <f t="shared" si="1"/>
        <v>9.466899999999999</v>
      </c>
      <c r="I107" s="3">
        <f t="shared" si="1"/>
        <v>4.3037000000000001</v>
      </c>
      <c r="J107" s="3">
        <f t="shared" si="1"/>
        <v>0</v>
      </c>
      <c r="K107" s="3">
        <f t="shared" si="1"/>
        <v>0</v>
      </c>
      <c r="L107" s="3">
        <f t="shared" si="1"/>
        <v>8.982800000000001</v>
      </c>
      <c r="M107" s="3">
        <f t="shared" si="1"/>
        <v>9.4186000000000014</v>
      </c>
      <c r="N107" s="3">
        <f t="shared" si="1"/>
        <v>9.1999999999999993</v>
      </c>
      <c r="O107" s="3">
        <f t="shared" si="1"/>
        <v>9.4130000000000003</v>
      </c>
      <c r="P107" s="3">
        <f t="shared" si="1"/>
        <v>9.2073</v>
      </c>
      <c r="Q107" s="3">
        <f t="shared" si="1"/>
        <v>0</v>
      </c>
      <c r="R107" s="3">
        <f t="shared" si="1"/>
        <v>0</v>
      </c>
      <c r="S107" s="3">
        <f t="shared" si="1"/>
        <v>9.2710000000000008</v>
      </c>
      <c r="T107" s="3">
        <f t="shared" si="1"/>
        <v>9.144499999999999</v>
      </c>
      <c r="U107" s="3">
        <f t="shared" si="1"/>
        <v>9.3293999999999997</v>
      </c>
      <c r="V107" s="3">
        <f t="shared" si="1"/>
        <v>9.09</v>
      </c>
      <c r="W107" s="3">
        <f t="shared" si="1"/>
        <v>9.168099999999999</v>
      </c>
      <c r="X107" s="3">
        <f t="shared" si="1"/>
        <v>0</v>
      </c>
      <c r="Y107" s="3">
        <f t="shared" si="1"/>
        <v>0</v>
      </c>
      <c r="Z107" s="3">
        <f t="shared" si="1"/>
        <v>11.293699999999998</v>
      </c>
      <c r="AA107" s="3">
        <f t="shared" si="1"/>
        <v>0</v>
      </c>
      <c r="AB107" s="3">
        <f t="shared" si="1"/>
        <v>9.3428000000000004</v>
      </c>
      <c r="AC107" s="3">
        <f t="shared" si="1"/>
        <v>9.5608000000000004</v>
      </c>
      <c r="AD107" s="3">
        <f t="shared" si="1"/>
        <v>9.27</v>
      </c>
      <c r="AE107" s="3">
        <f t="shared" si="1"/>
        <v>0</v>
      </c>
      <c r="AF107" s="3">
        <f t="shared" si="1"/>
        <v>0</v>
      </c>
      <c r="AG107" s="3">
        <f t="shared" si="1"/>
        <v>9.4255999999999993</v>
      </c>
      <c r="AH107" s="3">
        <f t="shared" si="1"/>
        <v>0</v>
      </c>
      <c r="AI107" s="1">
        <f>SUM(D107:AH107)</f>
        <v>182.57930000000005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2"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2025-06-30T21:30:42Z</dcterms:modified>
</cp:coreProperties>
</file>