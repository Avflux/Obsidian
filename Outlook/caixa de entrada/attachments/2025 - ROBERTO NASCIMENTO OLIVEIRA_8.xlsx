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5\"/>
    </mc:Choice>
  </mc:AlternateContent>
  <xr:revisionPtr revIDLastSave="0" documentId="13_ncr:1_{D94C3BCB-74D1-467F-8F06-65BF7A122F76}" xr6:coauthVersionLast="47" xr6:coauthVersionMax="47" xr10:uidLastSave="{00000000-0000-0000-0000-000000000000}"/>
  <workbookProtection workbookAlgorithmName="SHA-512" workbookHashValue="Ewpmmn3mazngWzKdI05dmBzAbZGVsiWgVNexr3GQtNYFGa8MzbVJ7EFMq//XWzeUMiv6J1/glCHVJc80qZl5tA==" workbookSaltValue="nrheCWpfCUqdChMF9Ld/Mg==" workbookSpinCount="100000" lockStructure="1"/>
  <bookViews>
    <workbookView xWindow="-108" yWindow="-108" windowWidth="23256" windowHeight="12456" tabRatio="868" activeTab="7" xr2:uid="{00000000-000D-0000-FFFF-FFFF00000000}"/>
  </bookViews>
  <sheets>
    <sheet name="Janeiro" sheetId="37" r:id="rId1"/>
    <sheet name="Fevereiro" sheetId="49" r:id="rId2"/>
    <sheet name="Março" sheetId="50" r:id="rId3"/>
    <sheet name="Abril" sheetId="51" r:id="rId4"/>
    <sheet name="Maio" sheetId="52" r:id="rId5"/>
    <sheet name="Junho" sheetId="53" r:id="rId6"/>
    <sheet name="Julho" sheetId="54" r:id="rId7"/>
    <sheet name="Agosto" sheetId="55" r:id="rId8"/>
    <sheet name="Setembro" sheetId="56" r:id="rId9"/>
    <sheet name="Outubro" sheetId="57" r:id="rId10"/>
    <sheet name="Novembro" sheetId="58" r:id="rId11"/>
    <sheet name="Dezembro" sheetId="5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7" i="59" l="1"/>
  <c r="AG107" i="59"/>
  <c r="AF107" i="59"/>
  <c r="AE107" i="59"/>
  <c r="AD107" i="59"/>
  <c r="AC107" i="59"/>
  <c r="AB107" i="59"/>
  <c r="AA107" i="59"/>
  <c r="Z107" i="59"/>
  <c r="Y107" i="59"/>
  <c r="X107" i="59"/>
  <c r="W107" i="59"/>
  <c r="V107" i="59"/>
  <c r="U107" i="59"/>
  <c r="T107" i="59"/>
  <c r="S107" i="59"/>
  <c r="R107" i="59"/>
  <c r="Q107" i="59"/>
  <c r="P107" i="59"/>
  <c r="O107" i="59"/>
  <c r="N107" i="59"/>
  <c r="M107" i="59"/>
  <c r="L107" i="59"/>
  <c r="K107" i="59"/>
  <c r="J107" i="59"/>
  <c r="I107" i="59"/>
  <c r="H107" i="59"/>
  <c r="G107" i="59"/>
  <c r="F107" i="59"/>
  <c r="E107" i="59"/>
  <c r="D107" i="59"/>
  <c r="AI106" i="59"/>
  <c r="AI105" i="59"/>
  <c r="AI104" i="59"/>
  <c r="AI103" i="59"/>
  <c r="AI102" i="59"/>
  <c r="AI101" i="59"/>
  <c r="AI100" i="59"/>
  <c r="AI99" i="59"/>
  <c r="AI98" i="59"/>
  <c r="AI97" i="59"/>
  <c r="AI96" i="59"/>
  <c r="AI95" i="59"/>
  <c r="AI94" i="59"/>
  <c r="AI93" i="59"/>
  <c r="AI92" i="59"/>
  <c r="AI91" i="59"/>
  <c r="AI90" i="59"/>
  <c r="AI89" i="59"/>
  <c r="AI88" i="59"/>
  <c r="AI87" i="59"/>
  <c r="AI86" i="59"/>
  <c r="AI85" i="59"/>
  <c r="AI84" i="59"/>
  <c r="AI83" i="59"/>
  <c r="AI82" i="59"/>
  <c r="AI81" i="59"/>
  <c r="AI80" i="59"/>
  <c r="AI79" i="59"/>
  <c r="AI78" i="59"/>
  <c r="AI77" i="59"/>
  <c r="AI76" i="59"/>
  <c r="AI75" i="59"/>
  <c r="AI74" i="59"/>
  <c r="AI73" i="59"/>
  <c r="AI72" i="59"/>
  <c r="AI71" i="59"/>
  <c r="AI70" i="59"/>
  <c r="AI69" i="59"/>
  <c r="AI68" i="59"/>
  <c r="AI67" i="59"/>
  <c r="AI66" i="59"/>
  <c r="AI65" i="59"/>
  <c r="AI64" i="59"/>
  <c r="AI63" i="59"/>
  <c r="AI62" i="59"/>
  <c r="AI61" i="59"/>
  <c r="AI60" i="59"/>
  <c r="AI59" i="59"/>
  <c r="AI58" i="59"/>
  <c r="AI57" i="59"/>
  <c r="AI56" i="59"/>
  <c r="AI55" i="59"/>
  <c r="AI54" i="59"/>
  <c r="AI53" i="59"/>
  <c r="AI52" i="59"/>
  <c r="AI51" i="59"/>
  <c r="AI50" i="59"/>
  <c r="AI49" i="59"/>
  <c r="AI48" i="59"/>
  <c r="AI47" i="59"/>
  <c r="AI46" i="59"/>
  <c r="AI45" i="59"/>
  <c r="AI44" i="59"/>
  <c r="AI43" i="59"/>
  <c r="AI42" i="59"/>
  <c r="AI41" i="59"/>
  <c r="AI40" i="59"/>
  <c r="AI39" i="59"/>
  <c r="AI38" i="59"/>
  <c r="AI37" i="59"/>
  <c r="AI36" i="59"/>
  <c r="AI35" i="59"/>
  <c r="AI34" i="59"/>
  <c r="AI33" i="59"/>
  <c r="AI32" i="59"/>
  <c r="AI31" i="59"/>
  <c r="AI30" i="59"/>
  <c r="AI29" i="59"/>
  <c r="AI28" i="59"/>
  <c r="AI27" i="59"/>
  <c r="AI26" i="59"/>
  <c r="AI25" i="59"/>
  <c r="AI24" i="59"/>
  <c r="AI23" i="59"/>
  <c r="AI22" i="59"/>
  <c r="AI21" i="59"/>
  <c r="AI20" i="59"/>
  <c r="AI19" i="59"/>
  <c r="AI18" i="59"/>
  <c r="AI17" i="59"/>
  <c r="AI16" i="59"/>
  <c r="AI15" i="59"/>
  <c r="AI14" i="59"/>
  <c r="AI13" i="59"/>
  <c r="AI12" i="59"/>
  <c r="AI11" i="59"/>
  <c r="AI10" i="59"/>
  <c r="AI9" i="59"/>
  <c r="AI8" i="59"/>
  <c r="AI7" i="59"/>
  <c r="AH107" i="58"/>
  <c r="AG107" i="58"/>
  <c r="AF107" i="58"/>
  <c r="AE107" i="58"/>
  <c r="AD107" i="58"/>
  <c r="AC107" i="58"/>
  <c r="AB107" i="58"/>
  <c r="AA107" i="58"/>
  <c r="Z107" i="58"/>
  <c r="Y107" i="58"/>
  <c r="X107" i="58"/>
  <c r="W107" i="58"/>
  <c r="V107" i="58"/>
  <c r="U107" i="58"/>
  <c r="T107" i="58"/>
  <c r="S107" i="58"/>
  <c r="R107" i="58"/>
  <c r="Q107" i="58"/>
  <c r="P107" i="58"/>
  <c r="O107" i="58"/>
  <c r="N107" i="58"/>
  <c r="M107" i="58"/>
  <c r="L107" i="58"/>
  <c r="K107" i="58"/>
  <c r="J107" i="58"/>
  <c r="I107" i="58"/>
  <c r="H107" i="58"/>
  <c r="G107" i="58"/>
  <c r="F107" i="58"/>
  <c r="E107" i="58"/>
  <c r="D107" i="58"/>
  <c r="AI106" i="58"/>
  <c r="AI105" i="58"/>
  <c r="AI104" i="58"/>
  <c r="AI103" i="58"/>
  <c r="AI102" i="58"/>
  <c r="AI101" i="58"/>
  <c r="AI100" i="58"/>
  <c r="AI99" i="58"/>
  <c r="AI98" i="58"/>
  <c r="AI97" i="58"/>
  <c r="AI96" i="58"/>
  <c r="AI95" i="58"/>
  <c r="AI94" i="58"/>
  <c r="AI93" i="58"/>
  <c r="AI92" i="58"/>
  <c r="AI91" i="58"/>
  <c r="AI90" i="58"/>
  <c r="AI89" i="58"/>
  <c r="AI88" i="58"/>
  <c r="AI87" i="58"/>
  <c r="AI86" i="58"/>
  <c r="AI85" i="58"/>
  <c r="AI84" i="58"/>
  <c r="AI83" i="58"/>
  <c r="AI82" i="58"/>
  <c r="AI81" i="58"/>
  <c r="AI80" i="58"/>
  <c r="AI79" i="58"/>
  <c r="AI78" i="58"/>
  <c r="AI77" i="58"/>
  <c r="AI76" i="58"/>
  <c r="AI75" i="58"/>
  <c r="AI74" i="58"/>
  <c r="AI73" i="58"/>
  <c r="AI72" i="58"/>
  <c r="AI71" i="58"/>
  <c r="AI70" i="58"/>
  <c r="AI69" i="58"/>
  <c r="AI68" i="58"/>
  <c r="AI67" i="58"/>
  <c r="AI66" i="58"/>
  <c r="AI65" i="58"/>
  <c r="AI64" i="58"/>
  <c r="AI63" i="58"/>
  <c r="AI62" i="58"/>
  <c r="AI61" i="58"/>
  <c r="AI60" i="58"/>
  <c r="AI59" i="58"/>
  <c r="AI58" i="58"/>
  <c r="AI57" i="58"/>
  <c r="AI56" i="58"/>
  <c r="AI55" i="58"/>
  <c r="AI54" i="58"/>
  <c r="AI53" i="58"/>
  <c r="AI52" i="58"/>
  <c r="AI51" i="58"/>
  <c r="AI50" i="58"/>
  <c r="AI49" i="58"/>
  <c r="AI48" i="58"/>
  <c r="AI47" i="58"/>
  <c r="AI46" i="58"/>
  <c r="AI45" i="58"/>
  <c r="AI44" i="58"/>
  <c r="AI43" i="58"/>
  <c r="AI42" i="58"/>
  <c r="AI41" i="58"/>
  <c r="AI40" i="58"/>
  <c r="AI39" i="58"/>
  <c r="AI38" i="58"/>
  <c r="AI37" i="58"/>
  <c r="AI36" i="58"/>
  <c r="AI35" i="58"/>
  <c r="AI34" i="58"/>
  <c r="AI33" i="58"/>
  <c r="AI32" i="58"/>
  <c r="AI31" i="58"/>
  <c r="AI30" i="58"/>
  <c r="AI29" i="58"/>
  <c r="AI28" i="58"/>
  <c r="AI27" i="58"/>
  <c r="AI26" i="58"/>
  <c r="AI25" i="58"/>
  <c r="AI24" i="58"/>
  <c r="AI23" i="58"/>
  <c r="AI22" i="58"/>
  <c r="AI21" i="58"/>
  <c r="AI20" i="58"/>
  <c r="AI19" i="58"/>
  <c r="AI18" i="58"/>
  <c r="AI17" i="58"/>
  <c r="AI16" i="58"/>
  <c r="AI15" i="58"/>
  <c r="AI14" i="58"/>
  <c r="AI13" i="58"/>
  <c r="AI12" i="58"/>
  <c r="AI11" i="58"/>
  <c r="AI10" i="58"/>
  <c r="AI9" i="58"/>
  <c r="AI8" i="58"/>
  <c r="AI7" i="58"/>
  <c r="AH107" i="57"/>
  <c r="AG107" i="57"/>
  <c r="AF107" i="57"/>
  <c r="AE107" i="57"/>
  <c r="AD107" i="57"/>
  <c r="AC107" i="57"/>
  <c r="AB107" i="57"/>
  <c r="AA107" i="57"/>
  <c r="Z107" i="57"/>
  <c r="Y107" i="57"/>
  <c r="X107" i="57"/>
  <c r="W107" i="57"/>
  <c r="V107" i="57"/>
  <c r="U107" i="57"/>
  <c r="T107" i="57"/>
  <c r="S107" i="57"/>
  <c r="R107" i="57"/>
  <c r="Q107" i="57"/>
  <c r="P107" i="57"/>
  <c r="O107" i="57"/>
  <c r="N107" i="57"/>
  <c r="M107" i="57"/>
  <c r="L107" i="57"/>
  <c r="K107" i="57"/>
  <c r="J107" i="57"/>
  <c r="I107" i="57"/>
  <c r="H107" i="57"/>
  <c r="G107" i="57"/>
  <c r="F107" i="57"/>
  <c r="E107" i="57"/>
  <c r="D107" i="57"/>
  <c r="AI106" i="57"/>
  <c r="AI105" i="57"/>
  <c r="AI104" i="57"/>
  <c r="AI103" i="57"/>
  <c r="AI102" i="57"/>
  <c r="AI101" i="57"/>
  <c r="AI100" i="57"/>
  <c r="AI99" i="57"/>
  <c r="AI98" i="57"/>
  <c r="AI97" i="57"/>
  <c r="AI96" i="57"/>
  <c r="AI95" i="57"/>
  <c r="AI94" i="57"/>
  <c r="AI93" i="57"/>
  <c r="AI92" i="57"/>
  <c r="AI91" i="57"/>
  <c r="AI90" i="57"/>
  <c r="AI89" i="57"/>
  <c r="AI88" i="57"/>
  <c r="AI87" i="57"/>
  <c r="AI86" i="57"/>
  <c r="AI85" i="57"/>
  <c r="AI84" i="57"/>
  <c r="AI83" i="57"/>
  <c r="AI82" i="57"/>
  <c r="AI81" i="57"/>
  <c r="AI80" i="57"/>
  <c r="AI79" i="57"/>
  <c r="AI78" i="57"/>
  <c r="AI77" i="57"/>
  <c r="AI76" i="57"/>
  <c r="AI75" i="57"/>
  <c r="AI74" i="57"/>
  <c r="AI73" i="57"/>
  <c r="AI72" i="57"/>
  <c r="AI71" i="57"/>
  <c r="AI70" i="57"/>
  <c r="AI69" i="57"/>
  <c r="AI68" i="57"/>
  <c r="AI67" i="57"/>
  <c r="AI66" i="57"/>
  <c r="AI65" i="57"/>
  <c r="AI64" i="57"/>
  <c r="AI63" i="57"/>
  <c r="AI62" i="57"/>
  <c r="AI61" i="57"/>
  <c r="AI60" i="57"/>
  <c r="AI59" i="57"/>
  <c r="AI58" i="57"/>
  <c r="AI57" i="57"/>
  <c r="AI56" i="57"/>
  <c r="AI55" i="57"/>
  <c r="AI54" i="57"/>
  <c r="AI53" i="57"/>
  <c r="AI52" i="57"/>
  <c r="AI51" i="57"/>
  <c r="AI50" i="57"/>
  <c r="AI49" i="57"/>
  <c r="AI48" i="57"/>
  <c r="AI47" i="57"/>
  <c r="AI46" i="57"/>
  <c r="AI45" i="57"/>
  <c r="AI44" i="57"/>
  <c r="AI43" i="57"/>
  <c r="AI42" i="57"/>
  <c r="AI41" i="57"/>
  <c r="AI40" i="57"/>
  <c r="AI39" i="57"/>
  <c r="AI38" i="57"/>
  <c r="AI37" i="57"/>
  <c r="AI36" i="57"/>
  <c r="AI35" i="57"/>
  <c r="AI34" i="57"/>
  <c r="AI33" i="57"/>
  <c r="AI32" i="57"/>
  <c r="AI31" i="57"/>
  <c r="AI30" i="57"/>
  <c r="AI29" i="57"/>
  <c r="AI28" i="57"/>
  <c r="AI27" i="57"/>
  <c r="AI26" i="57"/>
  <c r="AI25" i="57"/>
  <c r="AI24" i="57"/>
  <c r="AI23" i="57"/>
  <c r="AI22" i="57"/>
  <c r="AI21" i="57"/>
  <c r="AI20" i="57"/>
  <c r="AI19" i="57"/>
  <c r="AI18" i="57"/>
  <c r="AI17" i="57"/>
  <c r="AI16" i="57"/>
  <c r="AI15" i="57"/>
  <c r="AI14" i="57"/>
  <c r="AI13" i="57"/>
  <c r="AI12" i="57"/>
  <c r="AI11" i="57"/>
  <c r="AI10" i="57"/>
  <c r="AI9" i="57"/>
  <c r="AI8" i="57"/>
  <c r="AI7" i="57"/>
  <c r="AH107" i="56"/>
  <c r="AG107" i="56"/>
  <c r="AF107" i="56"/>
  <c r="AE107" i="56"/>
  <c r="AD107" i="56"/>
  <c r="AC107" i="56"/>
  <c r="AB107" i="56"/>
  <c r="AA107" i="56"/>
  <c r="Z107" i="56"/>
  <c r="Y107" i="56"/>
  <c r="X107" i="56"/>
  <c r="W107" i="56"/>
  <c r="V107" i="56"/>
  <c r="U107" i="56"/>
  <c r="T107" i="56"/>
  <c r="S107" i="56"/>
  <c r="R107" i="56"/>
  <c r="Q107" i="56"/>
  <c r="P107" i="56"/>
  <c r="O107" i="56"/>
  <c r="N107" i="56"/>
  <c r="M107" i="56"/>
  <c r="L107" i="56"/>
  <c r="K107" i="56"/>
  <c r="J107" i="56"/>
  <c r="I107" i="56"/>
  <c r="H107" i="56"/>
  <c r="G107" i="56"/>
  <c r="F107" i="56"/>
  <c r="E107" i="56"/>
  <c r="D107" i="56"/>
  <c r="AI106" i="56"/>
  <c r="AI105" i="56"/>
  <c r="AI104" i="56"/>
  <c r="AI103" i="56"/>
  <c r="AI102" i="56"/>
  <c r="AI101" i="56"/>
  <c r="AI100" i="56"/>
  <c r="AI99" i="56"/>
  <c r="AI98" i="56"/>
  <c r="AI97" i="56"/>
  <c r="AI96" i="56"/>
  <c r="AI95" i="56"/>
  <c r="AI94" i="56"/>
  <c r="AI93" i="56"/>
  <c r="AI92" i="56"/>
  <c r="AI91" i="56"/>
  <c r="AI90" i="56"/>
  <c r="AI89" i="56"/>
  <c r="AI88" i="56"/>
  <c r="AI87" i="56"/>
  <c r="AI86" i="56"/>
  <c r="AI85" i="56"/>
  <c r="AI84" i="56"/>
  <c r="AI83" i="56"/>
  <c r="AI82" i="56"/>
  <c r="AI81" i="56"/>
  <c r="AI80" i="56"/>
  <c r="AI79" i="56"/>
  <c r="AI78" i="56"/>
  <c r="AI77" i="56"/>
  <c r="AI76" i="56"/>
  <c r="AI75" i="56"/>
  <c r="AI74" i="56"/>
  <c r="AI73" i="56"/>
  <c r="AI72" i="56"/>
  <c r="AI71" i="56"/>
  <c r="AI70" i="56"/>
  <c r="AI69" i="56"/>
  <c r="AI68" i="56"/>
  <c r="AI67" i="56"/>
  <c r="AI66" i="56"/>
  <c r="AI65" i="56"/>
  <c r="AI64" i="56"/>
  <c r="AI63" i="56"/>
  <c r="AI62" i="56"/>
  <c r="AI61" i="56"/>
  <c r="AI60" i="56"/>
  <c r="AI59" i="56"/>
  <c r="AI58" i="56"/>
  <c r="AI57" i="56"/>
  <c r="AI56" i="56"/>
  <c r="AI55" i="56"/>
  <c r="AI54" i="56"/>
  <c r="AI53" i="56"/>
  <c r="AI52" i="56"/>
  <c r="AI51" i="56"/>
  <c r="AI50" i="56"/>
  <c r="AI49" i="56"/>
  <c r="AI48" i="56"/>
  <c r="AI47" i="56"/>
  <c r="AI46" i="56"/>
  <c r="AI45" i="56"/>
  <c r="AI44" i="56"/>
  <c r="AI43" i="56"/>
  <c r="AI42" i="56"/>
  <c r="AI41" i="56"/>
  <c r="AI40" i="56"/>
  <c r="AI39" i="56"/>
  <c r="AI38" i="56"/>
  <c r="AI37" i="56"/>
  <c r="AI36" i="56"/>
  <c r="AI35" i="56"/>
  <c r="AI34" i="56"/>
  <c r="AI33" i="56"/>
  <c r="AI32" i="56"/>
  <c r="AI31" i="56"/>
  <c r="AI30" i="56"/>
  <c r="AI29" i="56"/>
  <c r="AI28" i="56"/>
  <c r="AI27" i="56"/>
  <c r="AI26" i="56"/>
  <c r="AI25" i="56"/>
  <c r="AI24" i="56"/>
  <c r="AI23" i="56"/>
  <c r="AI22" i="56"/>
  <c r="AI21" i="56"/>
  <c r="AI20" i="56"/>
  <c r="AI19" i="56"/>
  <c r="AI18" i="56"/>
  <c r="AI17" i="56"/>
  <c r="AI16" i="56"/>
  <c r="AI15" i="56"/>
  <c r="AI14" i="56"/>
  <c r="AI13" i="56"/>
  <c r="AI12" i="56"/>
  <c r="AI11" i="56"/>
  <c r="AI10" i="56"/>
  <c r="AI9" i="56"/>
  <c r="AI8" i="56"/>
  <c r="AI7" i="56"/>
  <c r="AH107" i="55"/>
  <c r="AG107" i="55"/>
  <c r="AF107" i="55"/>
  <c r="AE107" i="55"/>
  <c r="AD107" i="55"/>
  <c r="AC107" i="55"/>
  <c r="AB107" i="55"/>
  <c r="AA107" i="55"/>
  <c r="Z107" i="55"/>
  <c r="Y107" i="55"/>
  <c r="X107" i="55"/>
  <c r="W107" i="55"/>
  <c r="V107" i="55"/>
  <c r="U107" i="55"/>
  <c r="T107" i="55"/>
  <c r="S107" i="55"/>
  <c r="R107" i="55"/>
  <c r="Q107" i="55"/>
  <c r="P107" i="55"/>
  <c r="O107" i="55"/>
  <c r="N107" i="55"/>
  <c r="M107" i="55"/>
  <c r="L107" i="55"/>
  <c r="K107" i="55"/>
  <c r="J107" i="55"/>
  <c r="I107" i="55"/>
  <c r="H107" i="55"/>
  <c r="G107" i="55"/>
  <c r="F107" i="55"/>
  <c r="E107" i="55"/>
  <c r="D107" i="55"/>
  <c r="AI106" i="55"/>
  <c r="AI105" i="55"/>
  <c r="AI104" i="55"/>
  <c r="AI103" i="55"/>
  <c r="AI102" i="55"/>
  <c r="AI101" i="55"/>
  <c r="AI100" i="55"/>
  <c r="AI99" i="55"/>
  <c r="AI98" i="55"/>
  <c r="AI97" i="55"/>
  <c r="AI96" i="55"/>
  <c r="AI95" i="55"/>
  <c r="AI94" i="55"/>
  <c r="AI93" i="55"/>
  <c r="AI92" i="55"/>
  <c r="AI91" i="55"/>
  <c r="AI90" i="55"/>
  <c r="AI89" i="55"/>
  <c r="AI88" i="55"/>
  <c r="AI87" i="55"/>
  <c r="AI86" i="55"/>
  <c r="AI85" i="55"/>
  <c r="AI84" i="55"/>
  <c r="AI83" i="55"/>
  <c r="AI82" i="55"/>
  <c r="AI81" i="55"/>
  <c r="AI80" i="55"/>
  <c r="AI79" i="55"/>
  <c r="AI78" i="55"/>
  <c r="AI77" i="55"/>
  <c r="AI76" i="55"/>
  <c r="AI75" i="55"/>
  <c r="AI74" i="55"/>
  <c r="AI73" i="55"/>
  <c r="AI72" i="55"/>
  <c r="AI71" i="55"/>
  <c r="AI70" i="55"/>
  <c r="AI69" i="55"/>
  <c r="AI68" i="55"/>
  <c r="AI67" i="55"/>
  <c r="AI66" i="55"/>
  <c r="AI65" i="55"/>
  <c r="AI64" i="55"/>
  <c r="AI63" i="55"/>
  <c r="AI62" i="55"/>
  <c r="AI61" i="55"/>
  <c r="AI60" i="55"/>
  <c r="AI59" i="55"/>
  <c r="AI58" i="55"/>
  <c r="AI57" i="55"/>
  <c r="AI56" i="55"/>
  <c r="AI55" i="55"/>
  <c r="AI54" i="55"/>
  <c r="AI53" i="55"/>
  <c r="AI52" i="55"/>
  <c r="AI51" i="55"/>
  <c r="AI50" i="55"/>
  <c r="AI49" i="55"/>
  <c r="AI48" i="55"/>
  <c r="AI47" i="55"/>
  <c r="AI46" i="55"/>
  <c r="AI45" i="55"/>
  <c r="AI44" i="55"/>
  <c r="AI43" i="55"/>
  <c r="AI42" i="55"/>
  <c r="AI41" i="55"/>
  <c r="AI40" i="55"/>
  <c r="AI39" i="55"/>
  <c r="AI38" i="55"/>
  <c r="AI37" i="55"/>
  <c r="AI36" i="55"/>
  <c r="AI35" i="55"/>
  <c r="AI34" i="55"/>
  <c r="AI33" i="55"/>
  <c r="AI32" i="55"/>
  <c r="AI31" i="55"/>
  <c r="AI30" i="55"/>
  <c r="AI29" i="55"/>
  <c r="AI28" i="55"/>
  <c r="AI27" i="55"/>
  <c r="AI26" i="55"/>
  <c r="AI25" i="55"/>
  <c r="AI24" i="55"/>
  <c r="AI23" i="55"/>
  <c r="AI22" i="55"/>
  <c r="AI21" i="55"/>
  <c r="AI20" i="55"/>
  <c r="AI19" i="55"/>
  <c r="AI18" i="55"/>
  <c r="AI17" i="55"/>
  <c r="AI16" i="55"/>
  <c r="AI15" i="55"/>
  <c r="AI14" i="55"/>
  <c r="AI13" i="55"/>
  <c r="AI12" i="55"/>
  <c r="AI11" i="55"/>
  <c r="AI10" i="55"/>
  <c r="AI9" i="55"/>
  <c r="AI8" i="55"/>
  <c r="AI7" i="55"/>
  <c r="AH107" i="54"/>
  <c r="AG107" i="54"/>
  <c r="AF107" i="54"/>
  <c r="AE107" i="54"/>
  <c r="AD107" i="54"/>
  <c r="AC107" i="54"/>
  <c r="AB107" i="54"/>
  <c r="AA107" i="54"/>
  <c r="Z107" i="54"/>
  <c r="Y107" i="54"/>
  <c r="X107" i="54"/>
  <c r="W107" i="54"/>
  <c r="V107" i="54"/>
  <c r="U107" i="54"/>
  <c r="T107" i="54"/>
  <c r="S107" i="54"/>
  <c r="R107" i="54"/>
  <c r="Q107" i="54"/>
  <c r="P107" i="54"/>
  <c r="O107" i="54"/>
  <c r="N107" i="54"/>
  <c r="M107" i="54"/>
  <c r="L107" i="54"/>
  <c r="K107" i="54"/>
  <c r="J107" i="54"/>
  <c r="I107" i="54"/>
  <c r="H107" i="54"/>
  <c r="G107" i="54"/>
  <c r="F107" i="54"/>
  <c r="E107" i="54"/>
  <c r="D107" i="54"/>
  <c r="AI106" i="54"/>
  <c r="AI105" i="54"/>
  <c r="AI104" i="54"/>
  <c r="AI103" i="54"/>
  <c r="AI102" i="54"/>
  <c r="AI101" i="54"/>
  <c r="AI100" i="54"/>
  <c r="AI99" i="54"/>
  <c r="AI98" i="54"/>
  <c r="AI97" i="54"/>
  <c r="AI96" i="54"/>
  <c r="AI95" i="54"/>
  <c r="AI94" i="54"/>
  <c r="AI93" i="54"/>
  <c r="AI92" i="54"/>
  <c r="AI91" i="54"/>
  <c r="AI90" i="54"/>
  <c r="AI89" i="54"/>
  <c r="AI88" i="54"/>
  <c r="AI87" i="54"/>
  <c r="AI86" i="54"/>
  <c r="AI85" i="54"/>
  <c r="AI84" i="54"/>
  <c r="AI83" i="54"/>
  <c r="AI82" i="54"/>
  <c r="AI81" i="54"/>
  <c r="AI80" i="54"/>
  <c r="AI79" i="54"/>
  <c r="AI78" i="54"/>
  <c r="AI77" i="54"/>
  <c r="AI76" i="54"/>
  <c r="AI75" i="54"/>
  <c r="AI74" i="54"/>
  <c r="AI73" i="54"/>
  <c r="AI72" i="54"/>
  <c r="AI71" i="54"/>
  <c r="AI70" i="54"/>
  <c r="AI69" i="54"/>
  <c r="AI68" i="54"/>
  <c r="AI67" i="54"/>
  <c r="AI66" i="54"/>
  <c r="AI65" i="54"/>
  <c r="AI64" i="54"/>
  <c r="AI63" i="54"/>
  <c r="AI62" i="54"/>
  <c r="AI61" i="54"/>
  <c r="AI60" i="54"/>
  <c r="AI59" i="54"/>
  <c r="AI58" i="54"/>
  <c r="AI57" i="54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I41" i="54"/>
  <c r="AI40" i="54"/>
  <c r="AI39" i="54"/>
  <c r="AI38" i="54"/>
  <c r="AI37" i="54"/>
  <c r="AI36" i="54"/>
  <c r="AI35" i="54"/>
  <c r="AI34" i="54"/>
  <c r="AI33" i="54"/>
  <c r="AI32" i="54"/>
  <c r="AI31" i="54"/>
  <c r="AI30" i="54"/>
  <c r="AI29" i="54"/>
  <c r="AI28" i="54"/>
  <c r="AI27" i="54"/>
  <c r="AI26" i="54"/>
  <c r="AI25" i="54"/>
  <c r="AI24" i="54"/>
  <c r="AI23" i="54"/>
  <c r="AI22" i="54"/>
  <c r="AI21" i="54"/>
  <c r="AI20" i="54"/>
  <c r="AI19" i="54"/>
  <c r="AI18" i="54"/>
  <c r="AI17" i="54"/>
  <c r="AI16" i="54"/>
  <c r="AI15" i="54"/>
  <c r="AI14" i="54"/>
  <c r="AI13" i="54"/>
  <c r="AI12" i="54"/>
  <c r="AI11" i="54"/>
  <c r="AI10" i="54"/>
  <c r="AI9" i="54"/>
  <c r="AI8" i="54"/>
  <c r="AI7" i="54"/>
  <c r="AH107" i="53"/>
  <c r="AG107" i="53"/>
  <c r="AF107" i="53"/>
  <c r="AE107" i="53"/>
  <c r="AD107" i="53"/>
  <c r="AC107" i="53"/>
  <c r="AB107" i="53"/>
  <c r="AA107" i="53"/>
  <c r="Z107" i="53"/>
  <c r="Y107" i="53"/>
  <c r="X107" i="53"/>
  <c r="W107" i="53"/>
  <c r="V107" i="53"/>
  <c r="U107" i="53"/>
  <c r="T107" i="53"/>
  <c r="S107" i="53"/>
  <c r="R107" i="53"/>
  <c r="Q107" i="53"/>
  <c r="P107" i="53"/>
  <c r="O107" i="53"/>
  <c r="N107" i="53"/>
  <c r="M107" i="53"/>
  <c r="L107" i="53"/>
  <c r="K107" i="53"/>
  <c r="J107" i="53"/>
  <c r="I107" i="53"/>
  <c r="H107" i="53"/>
  <c r="G107" i="53"/>
  <c r="F107" i="53"/>
  <c r="E107" i="53"/>
  <c r="D107" i="53"/>
  <c r="AI106" i="53"/>
  <c r="AI105" i="53"/>
  <c r="AI104" i="53"/>
  <c r="AI103" i="53"/>
  <c r="AI102" i="53"/>
  <c r="AI101" i="53"/>
  <c r="AI100" i="53"/>
  <c r="AI99" i="53"/>
  <c r="AI98" i="53"/>
  <c r="AI97" i="53"/>
  <c r="AI96" i="53"/>
  <c r="AI95" i="53"/>
  <c r="AI94" i="53"/>
  <c r="AI93" i="53"/>
  <c r="AI92" i="53"/>
  <c r="AI91" i="53"/>
  <c r="AI90" i="53"/>
  <c r="AI89" i="53"/>
  <c r="AI88" i="53"/>
  <c r="AI87" i="53"/>
  <c r="AI86" i="53"/>
  <c r="AI85" i="53"/>
  <c r="AI84" i="53"/>
  <c r="AI83" i="53"/>
  <c r="AI82" i="53"/>
  <c r="AI81" i="53"/>
  <c r="AI80" i="53"/>
  <c r="AI79" i="53"/>
  <c r="AI78" i="53"/>
  <c r="AI77" i="53"/>
  <c r="AI76" i="53"/>
  <c r="AI75" i="53"/>
  <c r="AI74" i="53"/>
  <c r="AI73" i="53"/>
  <c r="AI72" i="53"/>
  <c r="AI71" i="53"/>
  <c r="AI70" i="53"/>
  <c r="AI69" i="53"/>
  <c r="AI68" i="53"/>
  <c r="AI67" i="53"/>
  <c r="AI66" i="53"/>
  <c r="AI65" i="53"/>
  <c r="AI64" i="53"/>
  <c r="AI63" i="53"/>
  <c r="AI62" i="53"/>
  <c r="AI61" i="53"/>
  <c r="AI60" i="53"/>
  <c r="AI59" i="53"/>
  <c r="AI58" i="53"/>
  <c r="AI57" i="53"/>
  <c r="AI56" i="53"/>
  <c r="AI55" i="53"/>
  <c r="AI54" i="53"/>
  <c r="AI53" i="53"/>
  <c r="AI52" i="53"/>
  <c r="AI51" i="53"/>
  <c r="AI50" i="53"/>
  <c r="AI49" i="53"/>
  <c r="AI48" i="53"/>
  <c r="AI47" i="53"/>
  <c r="AI46" i="53"/>
  <c r="AI45" i="53"/>
  <c r="AI44" i="53"/>
  <c r="AI43" i="53"/>
  <c r="AI42" i="53"/>
  <c r="AI41" i="53"/>
  <c r="AI40" i="53"/>
  <c r="AI39" i="53"/>
  <c r="AI38" i="53"/>
  <c r="AI37" i="53"/>
  <c r="AI36" i="53"/>
  <c r="AI35" i="53"/>
  <c r="AI34" i="53"/>
  <c r="AI33" i="53"/>
  <c r="AI32" i="53"/>
  <c r="AI31" i="53"/>
  <c r="AI30" i="53"/>
  <c r="AI29" i="53"/>
  <c r="AI28" i="53"/>
  <c r="AI27" i="53"/>
  <c r="AI26" i="53"/>
  <c r="AI25" i="53"/>
  <c r="AI24" i="53"/>
  <c r="AI23" i="53"/>
  <c r="AI22" i="53"/>
  <c r="AI21" i="53"/>
  <c r="AI20" i="53"/>
  <c r="AI19" i="53"/>
  <c r="AI18" i="53"/>
  <c r="AI17" i="53"/>
  <c r="AI16" i="53"/>
  <c r="AI15" i="53"/>
  <c r="AI14" i="53"/>
  <c r="AI13" i="53"/>
  <c r="AI12" i="53"/>
  <c r="AI11" i="53"/>
  <c r="AI10" i="53"/>
  <c r="AI9" i="53"/>
  <c r="AI8" i="53"/>
  <c r="AI7" i="53"/>
  <c r="AH107" i="52"/>
  <c r="AG107" i="52"/>
  <c r="AF107" i="52"/>
  <c r="AE107" i="52"/>
  <c r="AD107" i="52"/>
  <c r="AC107" i="52"/>
  <c r="AB107" i="52"/>
  <c r="AA107" i="52"/>
  <c r="Z107" i="52"/>
  <c r="Y107" i="52"/>
  <c r="X107" i="52"/>
  <c r="W107" i="52"/>
  <c r="V107" i="52"/>
  <c r="U107" i="52"/>
  <c r="T107" i="52"/>
  <c r="S107" i="52"/>
  <c r="R107" i="52"/>
  <c r="Q107" i="52"/>
  <c r="P107" i="52"/>
  <c r="O107" i="52"/>
  <c r="N107" i="52"/>
  <c r="M107" i="52"/>
  <c r="L107" i="52"/>
  <c r="K107" i="52"/>
  <c r="J107" i="52"/>
  <c r="I107" i="52"/>
  <c r="H107" i="52"/>
  <c r="G107" i="52"/>
  <c r="F107" i="52"/>
  <c r="E107" i="52"/>
  <c r="D107" i="52"/>
  <c r="AI106" i="52"/>
  <c r="AI105" i="52"/>
  <c r="AI104" i="52"/>
  <c r="AI103" i="52"/>
  <c r="AI102" i="52"/>
  <c r="AI101" i="52"/>
  <c r="AI100" i="52"/>
  <c r="AI99" i="52"/>
  <c r="AI98" i="52"/>
  <c r="AI97" i="52"/>
  <c r="AI96" i="52"/>
  <c r="AI95" i="52"/>
  <c r="AI94" i="52"/>
  <c r="AI93" i="52"/>
  <c r="AI92" i="52"/>
  <c r="AI91" i="52"/>
  <c r="AI90" i="52"/>
  <c r="AI89" i="52"/>
  <c r="AI88" i="52"/>
  <c r="AI87" i="52"/>
  <c r="AI86" i="52"/>
  <c r="AI85" i="52"/>
  <c r="AI84" i="52"/>
  <c r="AI83" i="52"/>
  <c r="AI82" i="52"/>
  <c r="AI81" i="52"/>
  <c r="AI80" i="52"/>
  <c r="AI79" i="52"/>
  <c r="AI78" i="52"/>
  <c r="AI77" i="52"/>
  <c r="AI76" i="52"/>
  <c r="AI75" i="52"/>
  <c r="AI74" i="52"/>
  <c r="AI73" i="52"/>
  <c r="AI72" i="52"/>
  <c r="AI71" i="52"/>
  <c r="AI70" i="52"/>
  <c r="AI69" i="52"/>
  <c r="AI68" i="52"/>
  <c r="AI67" i="52"/>
  <c r="AI66" i="52"/>
  <c r="AI65" i="52"/>
  <c r="AI64" i="52"/>
  <c r="AI63" i="52"/>
  <c r="AI62" i="52"/>
  <c r="AI61" i="52"/>
  <c r="AI60" i="52"/>
  <c r="AI59" i="52"/>
  <c r="AI58" i="52"/>
  <c r="AI57" i="52"/>
  <c r="AI56" i="52"/>
  <c r="AI55" i="52"/>
  <c r="AI54" i="52"/>
  <c r="AI53" i="52"/>
  <c r="AI52" i="52"/>
  <c r="AI51" i="52"/>
  <c r="AI50" i="52"/>
  <c r="AI49" i="52"/>
  <c r="AI48" i="52"/>
  <c r="AI47" i="52"/>
  <c r="AI46" i="52"/>
  <c r="AI45" i="52"/>
  <c r="AI44" i="52"/>
  <c r="AI43" i="52"/>
  <c r="AI42" i="52"/>
  <c r="AI41" i="52"/>
  <c r="AI40" i="52"/>
  <c r="AI39" i="52"/>
  <c r="AI38" i="52"/>
  <c r="AI37" i="52"/>
  <c r="AI36" i="52"/>
  <c r="AI35" i="52"/>
  <c r="AI34" i="52"/>
  <c r="AI33" i="52"/>
  <c r="AI32" i="52"/>
  <c r="AI31" i="52"/>
  <c r="AI30" i="52"/>
  <c r="AI29" i="52"/>
  <c r="AI28" i="52"/>
  <c r="AI27" i="52"/>
  <c r="AI26" i="52"/>
  <c r="AI25" i="52"/>
  <c r="AI24" i="52"/>
  <c r="AI23" i="52"/>
  <c r="AI22" i="52"/>
  <c r="AI21" i="52"/>
  <c r="AI20" i="52"/>
  <c r="AI19" i="52"/>
  <c r="AI18" i="52"/>
  <c r="AI17" i="52"/>
  <c r="AI16" i="52"/>
  <c r="AI15" i="52"/>
  <c r="AI14" i="52"/>
  <c r="AI13" i="52"/>
  <c r="AI12" i="52"/>
  <c r="AI11" i="52"/>
  <c r="AI10" i="52"/>
  <c r="AI9" i="52"/>
  <c r="AI8" i="52"/>
  <c r="AI7" i="52"/>
  <c r="AH107" i="51"/>
  <c r="AG107" i="51"/>
  <c r="AF107" i="51"/>
  <c r="AE107" i="51"/>
  <c r="AD107" i="51"/>
  <c r="AC107" i="51"/>
  <c r="AB107" i="51"/>
  <c r="AA107" i="51"/>
  <c r="Z107" i="51"/>
  <c r="Y107" i="5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AI106" i="51"/>
  <c r="AI105" i="51"/>
  <c r="AI104" i="51"/>
  <c r="AI103" i="51"/>
  <c r="AI102" i="51"/>
  <c r="AI101" i="51"/>
  <c r="AI100" i="51"/>
  <c r="AI99" i="51"/>
  <c r="AI98" i="51"/>
  <c r="AI97" i="51"/>
  <c r="AI96" i="51"/>
  <c r="AI95" i="51"/>
  <c r="AI94" i="51"/>
  <c r="AI93" i="51"/>
  <c r="AI92" i="51"/>
  <c r="AI91" i="51"/>
  <c r="AI90" i="51"/>
  <c r="AI89" i="51"/>
  <c r="AI88" i="51"/>
  <c r="AI87" i="51"/>
  <c r="AI86" i="51"/>
  <c r="AI85" i="51"/>
  <c r="AI84" i="51"/>
  <c r="AI83" i="51"/>
  <c r="AI82" i="51"/>
  <c r="AI81" i="51"/>
  <c r="AI80" i="51"/>
  <c r="AI79" i="51"/>
  <c r="AI78" i="51"/>
  <c r="AI77" i="51"/>
  <c r="AI76" i="51"/>
  <c r="AI75" i="51"/>
  <c r="AI74" i="51"/>
  <c r="AI73" i="51"/>
  <c r="AI72" i="51"/>
  <c r="AI71" i="51"/>
  <c r="AI70" i="51"/>
  <c r="AI69" i="51"/>
  <c r="AI68" i="51"/>
  <c r="AI67" i="51"/>
  <c r="AI66" i="51"/>
  <c r="AI65" i="51"/>
  <c r="AI64" i="51"/>
  <c r="AI63" i="51"/>
  <c r="AI62" i="51"/>
  <c r="AI61" i="51"/>
  <c r="AI60" i="51"/>
  <c r="AI59" i="51"/>
  <c r="AI58" i="51"/>
  <c r="AI57" i="51"/>
  <c r="AI56" i="51"/>
  <c r="AI55" i="51"/>
  <c r="AI54" i="51"/>
  <c r="AI53" i="51"/>
  <c r="AI52" i="51"/>
  <c r="AI51" i="51"/>
  <c r="AI50" i="51"/>
  <c r="AI49" i="51"/>
  <c r="AI48" i="51"/>
  <c r="AI47" i="51"/>
  <c r="AI46" i="51"/>
  <c r="AI45" i="51"/>
  <c r="AI44" i="51"/>
  <c r="AI43" i="51"/>
  <c r="AI42" i="51"/>
  <c r="AI41" i="51"/>
  <c r="AI40" i="51"/>
  <c r="AI39" i="51"/>
  <c r="AI38" i="51"/>
  <c r="AI37" i="51"/>
  <c r="AI36" i="51"/>
  <c r="AI35" i="51"/>
  <c r="AI34" i="51"/>
  <c r="AI33" i="51"/>
  <c r="AI32" i="51"/>
  <c r="AI31" i="51"/>
  <c r="AI30" i="51"/>
  <c r="AI29" i="51"/>
  <c r="AI28" i="51"/>
  <c r="AI27" i="51"/>
  <c r="AI26" i="51"/>
  <c r="AI25" i="51"/>
  <c r="AI24" i="51"/>
  <c r="AI23" i="51"/>
  <c r="AI22" i="51"/>
  <c r="AI21" i="51"/>
  <c r="AI20" i="51"/>
  <c r="AI19" i="51"/>
  <c r="AI18" i="51"/>
  <c r="AI17" i="51"/>
  <c r="AI16" i="51"/>
  <c r="AI15" i="51"/>
  <c r="AI14" i="51"/>
  <c r="AI13" i="51"/>
  <c r="AI12" i="51"/>
  <c r="AI11" i="51"/>
  <c r="AI10" i="51"/>
  <c r="AI9" i="51"/>
  <c r="AI8" i="51"/>
  <c r="AI7" i="51"/>
  <c r="AH107" i="50"/>
  <c r="AG107" i="50"/>
  <c r="AF107" i="50"/>
  <c r="AE107" i="50"/>
  <c r="AD107" i="50"/>
  <c r="AC107" i="50"/>
  <c r="AB107" i="50"/>
  <c r="AA107" i="50"/>
  <c r="Z107" i="50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AI106" i="50"/>
  <c r="AI105" i="50"/>
  <c r="AI104" i="50"/>
  <c r="AI103" i="50"/>
  <c r="AI102" i="50"/>
  <c r="AI101" i="50"/>
  <c r="AI100" i="50"/>
  <c r="AI99" i="50"/>
  <c r="AI98" i="50"/>
  <c r="AI97" i="50"/>
  <c r="AI96" i="50"/>
  <c r="AI95" i="50"/>
  <c r="AI94" i="50"/>
  <c r="AI93" i="50"/>
  <c r="AI92" i="50"/>
  <c r="AI91" i="50"/>
  <c r="AI90" i="50"/>
  <c r="AI89" i="50"/>
  <c r="AI88" i="50"/>
  <c r="AI87" i="50"/>
  <c r="AI86" i="50"/>
  <c r="AI85" i="50"/>
  <c r="AI84" i="50"/>
  <c r="AI83" i="50"/>
  <c r="AI82" i="50"/>
  <c r="AI81" i="50"/>
  <c r="AI80" i="50"/>
  <c r="AI79" i="50"/>
  <c r="AI78" i="50"/>
  <c r="AI77" i="50"/>
  <c r="AI76" i="50"/>
  <c r="AI75" i="50"/>
  <c r="AI74" i="50"/>
  <c r="AI73" i="50"/>
  <c r="AI72" i="50"/>
  <c r="AI71" i="50"/>
  <c r="AI70" i="50"/>
  <c r="AI69" i="50"/>
  <c r="AI68" i="50"/>
  <c r="AI67" i="50"/>
  <c r="AI66" i="50"/>
  <c r="AI65" i="50"/>
  <c r="AI64" i="50"/>
  <c r="AI63" i="50"/>
  <c r="AI62" i="50"/>
  <c r="AI61" i="50"/>
  <c r="AI60" i="50"/>
  <c r="AI59" i="50"/>
  <c r="AI58" i="50"/>
  <c r="AI57" i="50"/>
  <c r="AI56" i="50"/>
  <c r="AI55" i="50"/>
  <c r="AI54" i="50"/>
  <c r="AI53" i="50"/>
  <c r="AI52" i="50"/>
  <c r="AI51" i="50"/>
  <c r="AI50" i="50"/>
  <c r="AI49" i="50"/>
  <c r="AI48" i="50"/>
  <c r="AI47" i="50"/>
  <c r="AI46" i="50"/>
  <c r="AI45" i="50"/>
  <c r="AI44" i="50"/>
  <c r="AI43" i="50"/>
  <c r="AI42" i="50"/>
  <c r="AI41" i="50"/>
  <c r="AI40" i="50"/>
  <c r="AI39" i="50"/>
  <c r="AI38" i="50"/>
  <c r="AI37" i="50"/>
  <c r="AI36" i="50"/>
  <c r="AI35" i="50"/>
  <c r="AI34" i="50"/>
  <c r="AI33" i="50"/>
  <c r="AI32" i="50"/>
  <c r="AI31" i="50"/>
  <c r="AI30" i="50"/>
  <c r="AI29" i="50"/>
  <c r="AI28" i="50"/>
  <c r="AI27" i="50"/>
  <c r="AI26" i="50"/>
  <c r="AI25" i="50"/>
  <c r="AI24" i="50"/>
  <c r="AI23" i="50"/>
  <c r="AI22" i="50"/>
  <c r="AI21" i="50"/>
  <c r="AI20" i="50"/>
  <c r="AI19" i="50"/>
  <c r="AI18" i="50"/>
  <c r="AI17" i="50"/>
  <c r="AI16" i="50"/>
  <c r="AI15" i="50"/>
  <c r="AI14" i="50"/>
  <c r="AI13" i="50"/>
  <c r="AI12" i="50"/>
  <c r="AI11" i="50"/>
  <c r="AI10" i="50"/>
  <c r="AI9" i="50"/>
  <c r="AI8" i="50"/>
  <c r="AI7" i="50"/>
  <c r="AH107" i="49"/>
  <c r="AG107" i="49"/>
  <c r="AF107" i="49"/>
  <c r="AE107" i="49"/>
  <c r="AD107" i="49"/>
  <c r="AC107" i="49"/>
  <c r="AB107" i="49"/>
  <c r="AA107" i="49"/>
  <c r="Z107" i="49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AI106" i="49"/>
  <c r="AI105" i="49"/>
  <c r="AI104" i="49"/>
  <c r="AI103" i="49"/>
  <c r="AI102" i="49"/>
  <c r="AI101" i="49"/>
  <c r="AI100" i="49"/>
  <c r="AI99" i="49"/>
  <c r="AI98" i="49"/>
  <c r="AI97" i="49"/>
  <c r="AI96" i="49"/>
  <c r="AI95" i="49"/>
  <c r="AI94" i="49"/>
  <c r="AI93" i="49"/>
  <c r="AI92" i="49"/>
  <c r="AI91" i="49"/>
  <c r="AI90" i="49"/>
  <c r="AI89" i="49"/>
  <c r="AI88" i="49"/>
  <c r="AI87" i="49"/>
  <c r="AI86" i="49"/>
  <c r="AI85" i="49"/>
  <c r="AI84" i="49"/>
  <c r="AI83" i="49"/>
  <c r="AI82" i="49"/>
  <c r="AI81" i="49"/>
  <c r="AI80" i="49"/>
  <c r="AI79" i="49"/>
  <c r="AI78" i="49"/>
  <c r="AI77" i="49"/>
  <c r="AI76" i="49"/>
  <c r="AI75" i="49"/>
  <c r="AI74" i="49"/>
  <c r="AI73" i="49"/>
  <c r="AI72" i="49"/>
  <c r="AI71" i="49"/>
  <c r="AI70" i="49"/>
  <c r="AI69" i="49"/>
  <c r="AI68" i="49"/>
  <c r="AI67" i="49"/>
  <c r="AI66" i="49"/>
  <c r="AI65" i="49"/>
  <c r="AI64" i="49"/>
  <c r="AI63" i="49"/>
  <c r="AI62" i="49"/>
  <c r="AI61" i="49"/>
  <c r="AI60" i="49"/>
  <c r="AI59" i="49"/>
  <c r="AI58" i="49"/>
  <c r="AI57" i="49"/>
  <c r="AI56" i="49"/>
  <c r="AI55" i="49"/>
  <c r="AI54" i="49"/>
  <c r="AI53" i="49"/>
  <c r="AI52" i="49"/>
  <c r="AI51" i="49"/>
  <c r="AI50" i="49"/>
  <c r="AI49" i="49"/>
  <c r="AI48" i="49"/>
  <c r="AI47" i="49"/>
  <c r="AI46" i="49"/>
  <c r="AI45" i="49"/>
  <c r="AI44" i="49"/>
  <c r="AI43" i="49"/>
  <c r="AI42" i="49"/>
  <c r="AI41" i="49"/>
  <c r="AI40" i="49"/>
  <c r="AI39" i="49"/>
  <c r="AI38" i="49"/>
  <c r="AI37" i="49"/>
  <c r="AI36" i="49"/>
  <c r="AI35" i="49"/>
  <c r="AI34" i="49"/>
  <c r="AI33" i="49"/>
  <c r="AI32" i="49"/>
  <c r="AI31" i="49"/>
  <c r="AI30" i="49"/>
  <c r="AI29" i="49"/>
  <c r="AI28" i="49"/>
  <c r="AI27" i="49"/>
  <c r="AI26" i="49"/>
  <c r="AI25" i="49"/>
  <c r="AI24" i="49"/>
  <c r="AI23" i="49"/>
  <c r="AI22" i="49"/>
  <c r="AI21" i="49"/>
  <c r="AI20" i="49"/>
  <c r="AI19" i="49"/>
  <c r="AI18" i="49"/>
  <c r="AI17" i="49"/>
  <c r="AI16" i="49"/>
  <c r="AI15" i="49"/>
  <c r="AI14" i="49"/>
  <c r="AI13" i="49"/>
  <c r="AI12" i="49"/>
  <c r="AI11" i="49"/>
  <c r="AI10" i="49"/>
  <c r="AI9" i="49"/>
  <c r="AI8" i="49"/>
  <c r="AI7" i="49"/>
  <c r="AI107" i="56" l="1"/>
  <c r="AI107" i="54"/>
  <c r="AI107" i="57"/>
  <c r="AI107" i="52"/>
  <c r="AI107" i="51"/>
  <c r="AI107" i="50"/>
  <c r="AI107" i="58"/>
  <c r="AI107" i="53"/>
  <c r="AI107" i="55"/>
  <c r="AI107" i="49"/>
  <c r="AI107" i="59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</calcChain>
</file>

<file path=xl/sharedStrings.xml><?xml version="1.0" encoding="utf-8"?>
<sst xmlns="http://schemas.openxmlformats.org/spreadsheetml/2006/main" count="382" uniqueCount="156">
  <si>
    <t>Dias</t>
  </si>
  <si>
    <t>Item</t>
  </si>
  <si>
    <t>Descrição</t>
  </si>
  <si>
    <t>Atividade</t>
  </si>
  <si>
    <t>Total</t>
  </si>
  <si>
    <t>Disposição de aparelhagem</t>
  </si>
  <si>
    <t>Interest-Interest-Curso/Treinamento-Administrativo------</t>
  </si>
  <si>
    <t>Desenvolvimento de APP</t>
  </si>
  <si>
    <t>Hersa-Eunapolis BC_REA-SE Eunápolis-Executivo-Elétrico-Conforme Construído--</t>
  </si>
  <si>
    <t>Conforme subir revisão</t>
  </si>
  <si>
    <t>Omexom-CGE Babilônia Centro-SE Ourolândia II-Executivo-Elétrico-Conforme Contruído--</t>
  </si>
  <si>
    <t>Chesf-SEs MSQ_IRE_LND_TAC_ELs 69kV_PB e TRs-SE Tacaimbó-Básico-Elétrico-Levantamento de Campo--</t>
  </si>
  <si>
    <t>Unifilar serviço auxiliar</t>
  </si>
  <si>
    <t>All Energy-SE Ibicoara-SE Ibicoara EL 138 kV-Executivo-Elétrica-Conforme Construído--</t>
  </si>
  <si>
    <t>Conforme verde vermelho</t>
  </si>
  <si>
    <t>Infra estrutura</t>
  </si>
  <si>
    <t>Chesf-SEs SJI_PRD_CGD_FTD_TAT Reforços e Melhorias-SE Pirapama II-Básico-Elétrico-Unifilar de Proteção--</t>
  </si>
  <si>
    <t>Unifilar proteção e medição</t>
  </si>
  <si>
    <t>Arquitetura de rede</t>
  </si>
  <si>
    <t>Chesf-SEs MSQ_IRE_LND_TAC_ELs 69kV_PB e TRs-SE Irecê-Básico-Elétrico-Unifilar de Proteção--</t>
  </si>
  <si>
    <t>Unifilar proteção</t>
  </si>
  <si>
    <t>Chesf-SEs MSQ_IRE_LND_TAC_ELs 69kV_PB e TRs-SE Irecê-Básico-Elétrico-Levantamento de Campo--</t>
  </si>
  <si>
    <t>Arquitetura de Rede</t>
  </si>
  <si>
    <t>Chesf-SEs MSQ_IRE_LND_TAC_ELs 69kV_PB e TRs-SE Tacaimbó-Básico-Elétrico-Arquitetura de Rede--</t>
  </si>
  <si>
    <t>Interest-Interest-Folgas-Administrativo------</t>
  </si>
  <si>
    <t>Folga</t>
  </si>
  <si>
    <t>Chesf-SEs MSQ_IRE_LND_TAC_ELs 69kV_PB e TRs-SE Irecê-Básico-Elétrico-Arquitetura de Rede--</t>
  </si>
  <si>
    <t>Neoenergia-Lote II-TRIO-Executivo-Elétrico-Conforme Construído--</t>
  </si>
  <si>
    <t>Conforme Construído</t>
  </si>
  <si>
    <t>Omexom-UFV Seriemas e Rio Brilhante-SE UFV Rio Brilhante-Executivo-Elétrico-Disposição das Aparelhagens--</t>
  </si>
  <si>
    <t>Omexom-UFV Seriemas e Rio Brilhante-SE Seriemas-Executivo-Elétrico-Conforme Contruído--</t>
  </si>
  <si>
    <t>Omexom-UFV Seriemas e Rio Brilhante-SE Seriemas-Executivo-Elétrico-Disposição das Aparelhagens--</t>
  </si>
  <si>
    <t>SIEMENS-BCS Colinas e Imperatriz-SE Colinas-Executivo-Elétrico-Conforme Contruído--</t>
  </si>
  <si>
    <t>Interligação</t>
  </si>
  <si>
    <t>Chesf-SEs MSQ_IRE_LND_TAC_ELs 69kV_PB e TRs-SE Lagoa Nova-Básico-Elétrico-Arquitetura de Rede--</t>
  </si>
  <si>
    <t>Chesf-SEs MSQ_IRE_LND_TAC_ELs 69kV_PB e TRs-SE Mossoró IV-Básico-Elétrico-Arquitetura de Rede--</t>
  </si>
  <si>
    <t>Siemens-PG 4121-TAC-Executivo-Elétrico-Conforme Construído--</t>
  </si>
  <si>
    <t>Unifilar</t>
  </si>
  <si>
    <t>Conforme</t>
  </si>
  <si>
    <t>Hersa-Poções II e Igaporã II-SE Porções II-Executivo-Elétrica-Conforme Construído--</t>
  </si>
  <si>
    <t>Chesf-SEs MSQ_IRE_LND_TAC_ELs 69kV_PB e TRs-SE Lagoa Nova-Básico-Elétrico-Unifilar de Proteção--</t>
  </si>
  <si>
    <t>Diagrama Unifilar de proteção e medição</t>
  </si>
  <si>
    <t>Treinamento Eletron</t>
  </si>
  <si>
    <t>Chesf-SEs MSQ_IRE_LND_TAC_ELs 69kV_PB e TRs-SE Mossoró IV-Básico-Elétrico-Unifilar de Proteção--</t>
  </si>
  <si>
    <t>TALDI-SEs Natal III e Paraíso-SE Paraíso-Executivo-Elétrica-Lista de materiais, lista de etiquentas, construtivos e diagrama de fiação dos serviços auxiliares--</t>
  </si>
  <si>
    <t>Serviços auxiliares</t>
  </si>
  <si>
    <t>Siemens-PG 1023-CGD-Executivo-Elétrico-Conforme Construído--</t>
  </si>
  <si>
    <t>Conforme construído</t>
  </si>
  <si>
    <t>Chesf-SEs SJI, PRD, CGD, FTD,TAT_PB e TRs-SE Pirapama II-Básico-Elétrico-Levantamento de Campo--</t>
  </si>
  <si>
    <t>Chesf-SEs SJI, PRD, CGD, FTD,TAT_PB e TRs-SE Pirapama II-Básico-Elétrico-Unifilar de Proteção--</t>
  </si>
  <si>
    <t>Chesf-SEs SJI, PRD, CGD, FTD,TAT_PB e TRs-SE Pirapama II-Básico-Elétrico-Arquitetura de Rede--</t>
  </si>
  <si>
    <t>Chesf-SEs SJI, PRD, CGD, FTD,TAT_PB e TRs-SE Campina Grande II-Básico-Elétrico-Arquitetura de Rede--</t>
  </si>
  <si>
    <t>Chesf-SEs SJI, PRD, CGD, FTD,TAT_PB e TRs-SE Campina Grande II-Básico-Elétrico-Unifilar de Proteção--</t>
  </si>
  <si>
    <t>Desenvolvimento do APP</t>
  </si>
  <si>
    <t>Siemens-PG 1023-CGD-Executivo-Eletromec.-Conforme Construído--</t>
  </si>
  <si>
    <t>Serviço aixiliar</t>
  </si>
  <si>
    <t>Interest-Interest-Administrativo-Administrativo------</t>
  </si>
  <si>
    <t>Projeto Empresatial Gestão &amp; Sociedade</t>
  </si>
  <si>
    <t>Chesf-SEs MSQ_IRE_LND_TAC_ELs 69kV_PB e TRs-SE Tacaimbó-Básico-Elétrico-Unifilar de Proteção--</t>
  </si>
  <si>
    <t>Marcaçôes verde vermelho</t>
  </si>
  <si>
    <t>Eletrobras-SEs CAX5_E, FPU_F, STA_I e LON_N PB_TR-SE Londrina-Básico-Elétrico-Arquitetura de Rede--</t>
  </si>
  <si>
    <t xml:space="preserve">Arquitetura digital </t>
  </si>
  <si>
    <t>Eletrobras-SEs CAX5_E, FPU_F, STA_I e LON_N PB_TR-SE Londrina-Básico-Elétrico-Levantamento de Campo--</t>
  </si>
  <si>
    <t>Distribuição de Aparelhagem</t>
  </si>
  <si>
    <t>Eletrobras-SEs CAX5_E, FPU_F, STA_I e LON_N PB_TR-SE Caxias do Sul 5-Básico-Elétrico-Levantamento de Campo--</t>
  </si>
  <si>
    <t>Casa de comando</t>
  </si>
  <si>
    <t>Eletrobras-SEs CAX5_E, FPU_F, STA_I e LON_N PB_TR-SE Londrina-Básico-Elétrico-Unifilar de Proteção--</t>
  </si>
  <si>
    <t>Desenho</t>
  </si>
  <si>
    <t>Eletrobras-SEs CAX5_E, FPU_F, STA_I e LON_N PB_TR-SE Caxias do Sul 5-Básico-Elétrico-Arquitetura de Rede--</t>
  </si>
  <si>
    <t>Arquitetura Desenho</t>
  </si>
  <si>
    <t>Disposição Painéis</t>
  </si>
  <si>
    <t>Unifilar serviços auxiliares</t>
  </si>
  <si>
    <t>Omexom-UFV Seriemas e Rio Brilhante-SE Rio Brilhante-Executivo-Elétrico-Disposição das Aparelhagens--</t>
  </si>
  <si>
    <t>Disposição das Aparelhagens</t>
  </si>
  <si>
    <t>Reunião Geral</t>
  </si>
  <si>
    <t>Unifilar de proteção</t>
  </si>
  <si>
    <t>Eletrobras-SEs CAX5_E, FPU_F, STA_I e LON_N PB_TR-SE Caxias do Sul 5-Básico-Elétrico-Unifilar de Proteção--</t>
  </si>
  <si>
    <t>Desenho Unifilar</t>
  </si>
  <si>
    <t>Unifilar serviço auxiliar cc</t>
  </si>
  <si>
    <t>Siemens-PG 4121-AGD-Executivo-Elétrico-Conforme Construído--</t>
  </si>
  <si>
    <t>Exame ASO</t>
  </si>
  <si>
    <t>Eletrobras-SEs CAX5_E, FPU_F, STA_I e LON_N PB_TR-SE Santo Ângelo-Básico-Elétrico-Unifilar de Proteção--</t>
  </si>
  <si>
    <t>Digitalização Unifilar</t>
  </si>
  <si>
    <t>Eletrobras-SEs CAX5_E, FPU_F, STA_I e LON_N PB_TR-SE Passo Fundo-Básico-Elétrico-Levantamento de Campo--</t>
  </si>
  <si>
    <t>Comforme Construído</t>
  </si>
  <si>
    <t>Eletrobras-SEs CAX5_E, FPU_F, STA_I e LON_N PB_TR-SE Passo Fundo-Básico-Elétrico-Arquitetura de Rede--</t>
  </si>
  <si>
    <t>Arquitetura desenho</t>
  </si>
  <si>
    <t>Unifilar Proteção</t>
  </si>
  <si>
    <t>Siemens-PG 4121-TAC-Executivo-Elétrico-Setor 69kV--</t>
  </si>
  <si>
    <t>Conforme Comstruído</t>
  </si>
  <si>
    <t>Eletrobras-SEs CAX5_E, FPU_F, STA_I e LON_N PB_TR-SE Passo Fundo-Básico-Elétrico-Unifilar de Proteção--</t>
  </si>
  <si>
    <t>Unifilar de Medição</t>
  </si>
  <si>
    <t>Aguardando retouno da Energia</t>
  </si>
  <si>
    <t>Siemens-PG 2900-CTU-Executivo-Elétrico-Conforme Construído--</t>
  </si>
  <si>
    <t>Eletrobras-SE Rondonópolis-SE RON_PB_TR-Básico-Elétrico-Unifilar de Proteção--</t>
  </si>
  <si>
    <t>Unifilar de Proteção</t>
  </si>
  <si>
    <t>Unifilar de Serviços Auxiliares</t>
  </si>
  <si>
    <t>CHESF-SE Lagoa Nova II-LGD-Executivo-Elétrico-Disposição das Aparelhagens--</t>
  </si>
  <si>
    <t>Disposição de Aparelhagem</t>
  </si>
  <si>
    <t>Diagrama unifilar de Proteção</t>
  </si>
  <si>
    <t>Serviços Auxiliares</t>
  </si>
  <si>
    <t>Siemens-PG 1023-ACD-Executivo-Elétrico-Setor 69kV--</t>
  </si>
  <si>
    <t>Eletrobras-SE Rondonópolis-SE RON_PB_TR-Básico-Elétrico-Arquitetura de Rede--</t>
  </si>
  <si>
    <t>Siemens-PG 3881-FTZ-Executivo-Elétrico-Conforme Construído--</t>
  </si>
  <si>
    <t>Eletrobras-Retrofit Serviços Auxiliares-SE Angelim II-Executivo-Elétrico-Locação de Painéis--</t>
  </si>
  <si>
    <t>Eletrobras-Retrofit Serviços Auxiliares-SE Sobradinho-Executivo-Elétrico-Diagramas Construtivos, Listas de Materiais e Fiações--</t>
  </si>
  <si>
    <t>Eletrobras-Retrofit Serviços Auxiliares-SE São João do Piauí-Executivo-Elétrico-Locação de Painéis--</t>
  </si>
  <si>
    <t xml:space="preserve">Disposição de Aparelhagem
</t>
  </si>
  <si>
    <t>Arquitetura digital</t>
  </si>
  <si>
    <t>Siemens-PG 2900-ITB-Executivo-Elétrico-Conforme Construído--</t>
  </si>
  <si>
    <t>Tabela do SGD</t>
  </si>
  <si>
    <t>Eletrobras-Retrofit Serviços Auxiliares-SE Paulo Afonso IV-Executivo-Elétrico-Locação de Painéis--</t>
  </si>
  <si>
    <t>Disposição de Painéis</t>
  </si>
  <si>
    <t>Eletrobras-Retrofit Serviços Auxiliares-SE Luiz Gonzaga-Executivo-Elétrico-Locação de Painéis--</t>
  </si>
  <si>
    <t>Disposição dos Painéis</t>
  </si>
  <si>
    <t>Unifilar SPCS</t>
  </si>
  <si>
    <t>Siemens-PG 1023-ACD-Executivo-Elétrico-Conforme Construído--</t>
  </si>
  <si>
    <t>Arquitetura Digital</t>
  </si>
  <si>
    <t>Omexom-UFV Seriemas e Rio Brilhante-SE Inocência-Executivo-Elétrico-Dossiê de Medição de Faturamento--</t>
  </si>
  <si>
    <t>Diagrama Unifitar</t>
  </si>
  <si>
    <t>Eletrobras-Retrofit Serviços Auxiliares-SE Olindina-Executivo-Elétrico-Levantamento de Campo--</t>
  </si>
  <si>
    <t>Diagrama Unifilar</t>
  </si>
  <si>
    <t>Festa de Comemoração 35 Anos</t>
  </si>
  <si>
    <t>Power China-UFV Mauriti-SE Mauriti-Executivo-Elétrico-Conforme Contruído--</t>
  </si>
  <si>
    <t>Eletrobras-Russas II_Cauípe_Acaraú II-SE Russas II-Básico-Elétrico-Levantamento de Campo--</t>
  </si>
  <si>
    <t>Eletrobras-Retrofit Serviços Auxiliares-SE Camaçari II-Executivo-Elétrico-Locação de Painéis--</t>
  </si>
  <si>
    <t>Diagrama Unililar de Proteção</t>
  </si>
  <si>
    <t>Diagrama unifilar  de Proteção</t>
  </si>
  <si>
    <t>Diagrama Uinifilar de Proteção</t>
  </si>
  <si>
    <t>Eletrobras-Pré leilão 004_2025-Lote 2-Básico-Elétrico-Unifilar de Proteção--</t>
  </si>
  <si>
    <t>Eletrobras-Pré leilão 004_2025-Lote 6-Básico-Elétrico-Unifilar de Proteção--</t>
  </si>
  <si>
    <t>Eletrobras-Pré leilão 004_2025-Lote 11-Básico-Elétrico-Unifilar de Proteção--</t>
  </si>
  <si>
    <t>Eletrobras-Pré leilão 004_2025-Lote 8-Básico-Elétrico-Unifilar de Proteção--</t>
  </si>
  <si>
    <t>Eletrobras-Pré leilão 004_2025-Lote 10-Básico-Elétrico-Unifilar de Proteção--</t>
  </si>
  <si>
    <t>Eletrobras-Pré leilão 004_2025-Lote 9-Básico-Elétrico-Unifilar de Proteção--</t>
  </si>
  <si>
    <t>Eletrobras-Russa II_Cauípe_Acaraú II-SE Russas II-Básico-Elétrico-Levantamento de Campo--</t>
  </si>
  <si>
    <t>Disposição de painéis</t>
  </si>
  <si>
    <t>Siemens-PG 3881-DMG-Executivo-Elétrico-Conforme Construído--</t>
  </si>
  <si>
    <t>Treinamento LGPD Compliance</t>
  </si>
  <si>
    <t>Eletrobras-Retrofit Serviços Auxiliares-SE Sobradinho-Executivo-Elétrico-Locação de Painéis--</t>
  </si>
  <si>
    <t>Eletrobras-Retrofit Serviços Auxiliares-SE Milagres-Executivo-Elétrico-Locação de Painéis--</t>
  </si>
  <si>
    <t>Disposição dos painéis</t>
  </si>
  <si>
    <t>Eletrobras-Pré leilão 004_2025-Lote 6-Básico-Elétrico-Lista de Equipamentos--</t>
  </si>
  <si>
    <t>Eletrobras-Pré leilão 004_2025-Lote 8-Básico-Elétrico-Quantitativos Elétricos--</t>
  </si>
  <si>
    <t>Elaboração Arranjo e Canaletas</t>
  </si>
  <si>
    <t>Eletrobras-Pré leilão 004_2025-Lote 11-Básico-Elétrico-Quantitativos Elétricos--</t>
  </si>
  <si>
    <t>Eletrobras-Russas II_Cauípe_Acaraú II-SE Russas II-Básico-Elétrico-Memorial Descritivo de SPCS--</t>
  </si>
  <si>
    <t>Atendendo marcações</t>
  </si>
  <si>
    <t>Revisão para Aprovação</t>
  </si>
  <si>
    <t>Eletrobras-Barreiras_Catu_Eunápolis_Santa Cruz II-SE Santa Cruz II-Básico-Elétrico-Levantamento de Campo--</t>
  </si>
  <si>
    <t>Eletrobras-SE Rondonópolis-SE RON_PB_TR-Básico-Elétrico-Levantamento de Campo--</t>
  </si>
  <si>
    <t>Serviço auxiliar</t>
  </si>
  <si>
    <t>Omexom-UFV Seriemas e Rio Brilhante-SE Inocência-Executivo-Elétrico-Diagramas de Interligação de SPCS--</t>
  </si>
  <si>
    <t>reu</t>
  </si>
  <si>
    <t>Omexom-UFV Seriemas e Rio Brilhante-SE Rio Brilhante-Executivo-Elétrico-Diagramas de Interligação de SPCS--</t>
  </si>
  <si>
    <t>Funcional Fictício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</si>
</sst>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5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164" fontId="2" fillId="4" borderId="21" xfId="1" applyNumberForma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 xr:uid="{00000000-0005-0000-0000-000001000000}"/>
    <cellStyle name="Normal 2 4" xfId="6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7" xr:uid="{00000000-0005-0000-0000-000006000000}"/>
    <cellStyle name="Normal 7" xfId="8" xr:uid="{00000000-0005-0000-0000-000007000000}"/>
    <cellStyle name="Normal 8" xfId="1" xr:uid="{00000000-0005-0000-0000-000008000000}"/>
  </cellStyles>
  <dxfs count="24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4CEE334A-8CD4-4113-9004-5271B498BC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C5C5717B-C410-4D48-AB07-F7BF490666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411B7D1-4FC9-440A-AD07-1FF5BDAE33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6F14D7D-2262-44B2-9EC6-2D608C7814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D02139CD-9E01-488C-8806-92D6696688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7A2F8CC-F679-4662-81EC-D8B2B24C35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89D94E97-4AD1-4842-B368-BD3DB6EBDD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6A80887A-605A-45D6-AA85-482D982AB3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BA3FB41-D993-4734-BDB9-55B5EAE1BB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93BA765-0362-41BB-9274-62FA73A7E7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3C0F5677-56F4-4EE8-8863-A8D3E63D14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topLeftCell="A79" zoomScaleNormal="100" workbookViewId="0">
      <pane xSplit="3" topLeftCell="Z1" activePane="topRight" state="frozen"/>
      <selection pane="topRight" activeCell="AH36" sqref="AH36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48</v>
      </c>
      <c r="C7" s="13" t="s">
        <v>5</v>
      </c>
      <c r="D7" s="12"/>
      <c r="E7" s="12"/>
      <c r="F7" s="12"/>
      <c r="G7" s="12"/>
      <c r="H7" s="12"/>
      <c r="I7" s="12">
        <v>2</v>
      </c>
      <c r="J7" s="12"/>
      <c r="K7" s="12"/>
      <c r="L7" s="4"/>
      <c r="M7" s="4"/>
      <c r="N7" s="4"/>
      <c r="O7" s="4"/>
      <c r="P7" s="4"/>
      <c r="Q7" s="4"/>
      <c r="R7" s="4"/>
      <c r="S7" s="4">
        <v>1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3</v>
      </c>
    </row>
    <row r="8" spans="1:35" x14ac:dyDescent="0.3">
      <c r="A8" s="24">
        <v>2</v>
      </c>
      <c r="B8" s="8" t="s">
        <v>6</v>
      </c>
      <c r="C8" s="8" t="s">
        <v>7</v>
      </c>
      <c r="D8" s="40"/>
      <c r="E8" s="40"/>
      <c r="F8" s="40"/>
      <c r="G8" s="40"/>
      <c r="H8" s="40"/>
      <c r="I8" s="40">
        <v>6.8</v>
      </c>
      <c r="J8" s="40">
        <v>4.8</v>
      </c>
      <c r="K8" s="40">
        <v>3.8</v>
      </c>
      <c r="L8" s="6">
        <v>7.8</v>
      </c>
      <c r="M8" s="6">
        <v>7.8</v>
      </c>
      <c r="N8" s="6"/>
      <c r="O8" s="6"/>
      <c r="P8" s="6">
        <v>3.8</v>
      </c>
      <c r="Q8" s="6">
        <v>2.5</v>
      </c>
      <c r="R8" s="6"/>
      <c r="S8" s="6">
        <v>3</v>
      </c>
      <c r="T8" s="6">
        <v>2</v>
      </c>
      <c r="U8" s="6"/>
      <c r="V8" s="6"/>
      <c r="W8" s="6">
        <v>3.8</v>
      </c>
      <c r="X8" s="6"/>
      <c r="Y8" s="6">
        <v>4.5</v>
      </c>
      <c r="Z8" s="6">
        <v>5</v>
      </c>
      <c r="AA8" s="6">
        <v>4</v>
      </c>
      <c r="AB8" s="6"/>
      <c r="AC8" s="6"/>
      <c r="AD8" s="6">
        <v>3</v>
      </c>
      <c r="AE8" s="6">
        <v>4</v>
      </c>
      <c r="AF8" s="6">
        <v>1</v>
      </c>
      <c r="AG8" s="6">
        <v>2</v>
      </c>
      <c r="AH8" s="6">
        <v>6</v>
      </c>
      <c r="AI8" s="2">
        <f t="shared" si="0"/>
        <v>75.599999999999994</v>
      </c>
    </row>
    <row r="9" spans="1:35" x14ac:dyDescent="0.3">
      <c r="A9" s="24">
        <v>3</v>
      </c>
      <c r="B9" s="8" t="s">
        <v>8</v>
      </c>
      <c r="C9" s="8" t="s">
        <v>9</v>
      </c>
      <c r="D9" s="40"/>
      <c r="E9" s="40"/>
      <c r="F9" s="40"/>
      <c r="G9" s="40"/>
      <c r="H9" s="40"/>
      <c r="I9" s="40"/>
      <c r="J9" s="40">
        <v>1</v>
      </c>
      <c r="K9" s="40"/>
      <c r="L9" s="6"/>
      <c r="M9" s="6"/>
      <c r="N9" s="6"/>
      <c r="O9" s="6"/>
      <c r="P9" s="6"/>
      <c r="Q9" s="42"/>
      <c r="R9" s="6"/>
      <c r="S9" s="6"/>
      <c r="T9" s="6"/>
      <c r="U9" s="6"/>
      <c r="V9" s="6"/>
      <c r="W9" s="6"/>
      <c r="X9" s="6"/>
      <c r="Y9" s="6"/>
      <c r="Z9" s="6"/>
      <c r="AA9" s="42"/>
      <c r="AB9" s="6"/>
      <c r="AC9" s="6"/>
      <c r="AD9" s="42"/>
      <c r="AE9" s="42"/>
      <c r="AF9" s="6"/>
      <c r="AG9" s="6"/>
      <c r="AH9" s="6"/>
      <c r="AI9" s="2">
        <f t="shared" si="0"/>
        <v>1</v>
      </c>
    </row>
    <row r="10" spans="1:35" x14ac:dyDescent="0.3">
      <c r="A10" s="24">
        <v>4</v>
      </c>
      <c r="B10" s="8" t="s">
        <v>10</v>
      </c>
      <c r="C10" s="8" t="s">
        <v>9</v>
      </c>
      <c r="D10" s="40"/>
      <c r="E10" s="40"/>
      <c r="F10" s="40"/>
      <c r="G10" s="40"/>
      <c r="H10" s="40"/>
      <c r="I10" s="40"/>
      <c r="J10" s="40"/>
      <c r="K10" s="40">
        <v>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3</v>
      </c>
    </row>
    <row r="11" spans="1:35" x14ac:dyDescent="0.3">
      <c r="A11" s="24">
        <v>5</v>
      </c>
      <c r="B11" s="8" t="s">
        <v>11</v>
      </c>
      <c r="C11" s="8" t="s">
        <v>12</v>
      </c>
      <c r="D11" s="40"/>
      <c r="E11" s="40"/>
      <c r="F11" s="40"/>
      <c r="G11" s="40"/>
      <c r="H11" s="40"/>
      <c r="I11" s="40"/>
      <c r="J11" s="40">
        <v>3.2</v>
      </c>
      <c r="K11" s="40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4.2</v>
      </c>
    </row>
    <row r="12" spans="1:35" x14ac:dyDescent="0.3">
      <c r="A12" s="24">
        <v>6</v>
      </c>
      <c r="B12" s="8" t="s">
        <v>13</v>
      </c>
      <c r="C12" s="8" t="s">
        <v>14</v>
      </c>
      <c r="D12" s="40"/>
      <c r="E12" s="40"/>
      <c r="F12" s="40"/>
      <c r="G12" s="40"/>
      <c r="H12" s="40"/>
      <c r="I12" s="40"/>
      <c r="J12" s="40"/>
      <c r="K12" s="40">
        <v>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1</v>
      </c>
    </row>
    <row r="13" spans="1:35" x14ac:dyDescent="0.3">
      <c r="A13" s="24">
        <v>7</v>
      </c>
      <c r="B13" s="7" t="s">
        <v>11</v>
      </c>
      <c r="C13" s="8" t="s">
        <v>15</v>
      </c>
      <c r="D13" s="6"/>
      <c r="E13" s="6"/>
      <c r="F13" s="6"/>
      <c r="G13" s="6"/>
      <c r="H13" s="6"/>
      <c r="I13" s="6"/>
      <c r="J13" s="6"/>
      <c r="K13" s="6"/>
      <c r="L13" s="6">
        <v>1.2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1.2</v>
      </c>
    </row>
    <row r="14" spans="1:35" x14ac:dyDescent="0.3">
      <c r="A14" s="24">
        <v>8</v>
      </c>
      <c r="B14" s="7" t="s">
        <v>49</v>
      </c>
      <c r="C14" s="8" t="s">
        <v>17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>
        <v>2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</v>
      </c>
    </row>
    <row r="15" spans="1:35" x14ac:dyDescent="0.3">
      <c r="A15" s="24">
        <v>9</v>
      </c>
      <c r="B15" s="7" t="s">
        <v>50</v>
      </c>
      <c r="C15" s="8" t="s">
        <v>18</v>
      </c>
      <c r="D15" s="6"/>
      <c r="E15" s="40"/>
      <c r="F15" s="6"/>
      <c r="G15" s="6"/>
      <c r="H15" s="6"/>
      <c r="I15" s="6"/>
      <c r="J15" s="6"/>
      <c r="K15" s="6"/>
      <c r="L15" s="6"/>
      <c r="M15" s="6">
        <v>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</v>
      </c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</v>
      </c>
    </row>
    <row r="16" spans="1:35" x14ac:dyDescent="0.3">
      <c r="A16" s="24">
        <v>10</v>
      </c>
      <c r="B16" s="7" t="s">
        <v>19</v>
      </c>
      <c r="C16" s="8" t="s">
        <v>20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1</v>
      </c>
      <c r="Q16" s="6"/>
      <c r="R16" s="6">
        <v>2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3</v>
      </c>
    </row>
    <row r="17" spans="1:35" x14ac:dyDescent="0.3">
      <c r="A17" s="24">
        <v>11</v>
      </c>
      <c r="B17" s="7" t="s">
        <v>21</v>
      </c>
      <c r="C17" s="8" t="s">
        <v>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42"/>
      <c r="P17" s="6">
        <v>2.5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2.5</v>
      </c>
    </row>
    <row r="18" spans="1:35" x14ac:dyDescent="0.3">
      <c r="A18" s="24">
        <v>12</v>
      </c>
      <c r="B18" s="8" t="s">
        <v>11</v>
      </c>
      <c r="C18" s="8" t="s">
        <v>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2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2</v>
      </c>
    </row>
    <row r="19" spans="1:35" x14ac:dyDescent="0.3">
      <c r="A19" s="24">
        <v>13</v>
      </c>
      <c r="B19" s="8" t="s">
        <v>26</v>
      </c>
      <c r="C19" s="8" t="s">
        <v>22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2</v>
      </c>
      <c r="R19" s="6">
        <v>1.5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3.5</v>
      </c>
    </row>
    <row r="20" spans="1:35" x14ac:dyDescent="0.3">
      <c r="A20" s="24">
        <v>14</v>
      </c>
      <c r="B20" s="7" t="s">
        <v>23</v>
      </c>
      <c r="C20" s="8" t="s">
        <v>22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3</v>
      </c>
      <c r="R20" s="6">
        <v>2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5</v>
      </c>
    </row>
    <row r="21" spans="1:35" x14ac:dyDescent="0.3">
      <c r="A21" s="24">
        <v>15</v>
      </c>
      <c r="B21" s="7" t="s">
        <v>24</v>
      </c>
      <c r="C21" s="8" t="s">
        <v>25</v>
      </c>
      <c r="D21" s="6"/>
      <c r="E21" s="6">
        <v>8.8000000000000007</v>
      </c>
      <c r="F21" s="6">
        <v>8.8000000000000007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17.600000000000001</v>
      </c>
    </row>
    <row r="22" spans="1:35" x14ac:dyDescent="0.3">
      <c r="A22" s="24">
        <v>16</v>
      </c>
      <c r="B22" s="8" t="s">
        <v>27</v>
      </c>
      <c r="C22" s="5" t="s">
        <v>28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40">
        <v>2</v>
      </c>
      <c r="S22" s="6">
        <v>1</v>
      </c>
      <c r="T22" s="6">
        <v>2</v>
      </c>
      <c r="U22" s="6"/>
      <c r="V22" s="6"/>
      <c r="W22" s="6">
        <v>1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6</v>
      </c>
    </row>
    <row r="23" spans="1:35" x14ac:dyDescent="0.3">
      <c r="A23" s="24">
        <v>17</v>
      </c>
      <c r="B23" s="7" t="s">
        <v>29</v>
      </c>
      <c r="C23" s="8" t="s">
        <v>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>
        <v>2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2</v>
      </c>
    </row>
    <row r="24" spans="1:35" x14ac:dyDescent="0.3">
      <c r="A24" s="24">
        <v>18</v>
      </c>
      <c r="B24" s="7" t="s">
        <v>30</v>
      </c>
      <c r="C24" s="5" t="s">
        <v>28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2</v>
      </c>
    </row>
    <row r="25" spans="1:35" x14ac:dyDescent="0.3">
      <c r="A25" s="24">
        <v>19</v>
      </c>
      <c r="B25" s="7" t="s">
        <v>31</v>
      </c>
      <c r="C25" s="8" t="s">
        <v>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>
        <v>2</v>
      </c>
      <c r="T25" s="6"/>
      <c r="U25" s="6"/>
      <c r="V25" s="6"/>
      <c r="W25" s="6">
        <v>3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5</v>
      </c>
    </row>
    <row r="26" spans="1:35" x14ac:dyDescent="0.3">
      <c r="A26" s="24">
        <v>20</v>
      </c>
      <c r="B26" s="7" t="s">
        <v>51</v>
      </c>
      <c r="C26" s="8" t="s">
        <v>22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>
        <v>1</v>
      </c>
      <c r="U26" s="6"/>
      <c r="V26" s="6"/>
      <c r="W26" s="40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1</v>
      </c>
    </row>
    <row r="27" spans="1:35" x14ac:dyDescent="0.3">
      <c r="A27" s="24">
        <v>21</v>
      </c>
      <c r="B27" s="7" t="s">
        <v>32</v>
      </c>
      <c r="C27" s="8" t="s">
        <v>33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>
        <v>1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1</v>
      </c>
    </row>
    <row r="28" spans="1:35" x14ac:dyDescent="0.3">
      <c r="A28" s="24">
        <v>22</v>
      </c>
      <c r="B28" s="7" t="s">
        <v>34</v>
      </c>
      <c r="C28" s="8" t="s">
        <v>22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v>3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3</v>
      </c>
    </row>
    <row r="29" spans="1:35" x14ac:dyDescent="0.3">
      <c r="A29" s="24">
        <v>23</v>
      </c>
      <c r="B29" s="7" t="s">
        <v>35</v>
      </c>
      <c r="C29" s="8" t="s">
        <v>22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>
        <v>3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3</v>
      </c>
    </row>
    <row r="30" spans="1:35" x14ac:dyDescent="0.3">
      <c r="A30" s="24">
        <v>24</v>
      </c>
      <c r="B30" s="7" t="s">
        <v>52</v>
      </c>
      <c r="C30" s="8" t="s">
        <v>20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>
        <v>3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3</v>
      </c>
    </row>
    <row r="31" spans="1:35" x14ac:dyDescent="0.3">
      <c r="A31" s="24">
        <v>25</v>
      </c>
      <c r="B31" s="7" t="s">
        <v>36</v>
      </c>
      <c r="C31" s="8" t="s">
        <v>28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>
        <v>3.5</v>
      </c>
      <c r="Z31" s="6">
        <v>4</v>
      </c>
      <c r="AA31" s="6"/>
      <c r="AB31" s="6"/>
      <c r="AC31" s="6"/>
      <c r="AD31" s="6"/>
      <c r="AE31" s="6"/>
      <c r="AF31" s="6"/>
      <c r="AG31" s="6"/>
      <c r="AH31" s="6"/>
      <c r="AI31" s="2">
        <f t="shared" si="0"/>
        <v>7.5</v>
      </c>
    </row>
    <row r="32" spans="1:35" x14ac:dyDescent="0.3">
      <c r="A32" s="24">
        <v>26</v>
      </c>
      <c r="B32" s="7" t="s">
        <v>16</v>
      </c>
      <c r="C32" s="7" t="s">
        <v>37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 t="s">
        <v>39</v>
      </c>
      <c r="C33" s="7" t="s">
        <v>38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1.2336</v>
      </c>
      <c r="AB33" s="6"/>
      <c r="AC33" s="6"/>
      <c r="AD33" s="6"/>
      <c r="AE33" s="6">
        <v>2</v>
      </c>
      <c r="AF33" s="6"/>
      <c r="AG33" s="6">
        <v>4</v>
      </c>
      <c r="AH33" s="6"/>
      <c r="AI33" s="2">
        <f t="shared" si="0"/>
        <v>7.2336</v>
      </c>
    </row>
    <row r="34" spans="1:35" x14ac:dyDescent="0.3">
      <c r="A34" s="24">
        <v>28</v>
      </c>
      <c r="B34" s="7" t="s">
        <v>40</v>
      </c>
      <c r="C34" s="7" t="s">
        <v>41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0.28189999999999998</v>
      </c>
      <c r="AB34" s="6"/>
      <c r="AC34" s="6"/>
      <c r="AD34" s="6"/>
      <c r="AE34" s="6"/>
      <c r="AF34" s="6"/>
      <c r="AG34" s="6"/>
      <c r="AH34" s="6"/>
      <c r="AI34" s="2">
        <f t="shared" si="0"/>
        <v>0.28189999999999998</v>
      </c>
    </row>
    <row r="35" spans="1:35" x14ac:dyDescent="0.3">
      <c r="A35" s="24">
        <v>29</v>
      </c>
      <c r="B35" s="7" t="s">
        <v>6</v>
      </c>
      <c r="C35" s="7" t="s">
        <v>42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3.4855999999999998</v>
      </c>
      <c r="AB35" s="6"/>
      <c r="AC35" s="6"/>
      <c r="AD35" s="6">
        <v>1.5</v>
      </c>
      <c r="AE35" s="6">
        <v>3</v>
      </c>
      <c r="AF35" s="6">
        <v>2</v>
      </c>
      <c r="AG35" s="6"/>
      <c r="AH35" s="6">
        <v>3</v>
      </c>
      <c r="AI35" s="2">
        <f t="shared" si="0"/>
        <v>12.9856</v>
      </c>
    </row>
    <row r="36" spans="1:35" x14ac:dyDescent="0.3">
      <c r="A36" s="24">
        <v>30</v>
      </c>
      <c r="B36" s="7" t="s">
        <v>43</v>
      </c>
      <c r="C36" s="7" t="s">
        <v>41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>
        <v>1.5</v>
      </c>
      <c r="AE36" s="6"/>
      <c r="AF36" s="6"/>
      <c r="AG36" s="6"/>
      <c r="AH36" s="6"/>
      <c r="AI36" s="2">
        <f t="shared" si="0"/>
        <v>1.5</v>
      </c>
    </row>
    <row r="37" spans="1:35" x14ac:dyDescent="0.3">
      <c r="A37" s="24">
        <v>31</v>
      </c>
      <c r="B37" s="7" t="s">
        <v>44</v>
      </c>
      <c r="C37" s="8" t="s">
        <v>45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>
        <v>3</v>
      </c>
      <c r="AE37" s="6"/>
      <c r="AF37" s="6"/>
      <c r="AG37" s="6"/>
      <c r="AH37" s="6"/>
      <c r="AI37" s="2">
        <f t="shared" si="0"/>
        <v>3</v>
      </c>
    </row>
    <row r="38" spans="1:35" x14ac:dyDescent="0.3">
      <c r="A38" s="24">
        <v>32</v>
      </c>
      <c r="B38" s="9" t="s">
        <v>46</v>
      </c>
      <c r="C38" s="43" t="s">
        <v>47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>
        <v>6</v>
      </c>
      <c r="AG38" s="10">
        <v>3</v>
      </c>
      <c r="AH38" s="10"/>
      <c r="AI38" s="2">
        <f t="shared" si="0"/>
        <v>9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41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4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4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4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8.8000000000000007</v>
      </c>
      <c r="F107" s="11">
        <f t="shared" si="1"/>
        <v>8.8000000000000007</v>
      </c>
      <c r="G107" s="3">
        <f t="shared" si="1"/>
        <v>0</v>
      </c>
      <c r="H107" s="3">
        <f t="shared" si="1"/>
        <v>0</v>
      </c>
      <c r="I107" s="3">
        <f t="shared" si="1"/>
        <v>8.8000000000000007</v>
      </c>
      <c r="J107" s="3">
        <f t="shared" si="1"/>
        <v>9</v>
      </c>
      <c r="K107" s="3">
        <f t="shared" si="1"/>
        <v>8.8000000000000007</v>
      </c>
      <c r="L107" s="3">
        <f t="shared" si="1"/>
        <v>9</v>
      </c>
      <c r="M107" s="3">
        <f t="shared" si="1"/>
        <v>8.8000000000000007</v>
      </c>
      <c r="N107" s="3">
        <f t="shared" si="1"/>
        <v>0</v>
      </c>
      <c r="O107" s="3">
        <f t="shared" si="1"/>
        <v>0</v>
      </c>
      <c r="P107" s="3">
        <f t="shared" si="1"/>
        <v>9.3000000000000007</v>
      </c>
      <c r="Q107" s="3">
        <f t="shared" si="1"/>
        <v>9.5</v>
      </c>
      <c r="R107" s="3">
        <f t="shared" si="1"/>
        <v>9.5</v>
      </c>
      <c r="S107" s="3">
        <f t="shared" si="1"/>
        <v>9</v>
      </c>
      <c r="T107" s="3">
        <f t="shared" si="1"/>
        <v>5</v>
      </c>
      <c r="U107" s="3">
        <f t="shared" si="1"/>
        <v>0</v>
      </c>
      <c r="V107" s="3">
        <f t="shared" si="1"/>
        <v>0</v>
      </c>
      <c r="W107" s="3">
        <f t="shared" si="1"/>
        <v>8.8000000000000007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9.001100000000001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194.1011</v>
      </c>
    </row>
  </sheetData>
  <sheetProtection algorithmName="SHA-512" hashValue="ezbp5RsErWzUDOYiELoyRCtgyxmk7cF2gJ85Gdf/tzz6XcNO0XwuDB0Lkvm4xYSPA6KD5nnCG6ROpUyZ0Xbbqw==" saltValue="DZ2kd2Fb9d1zTUwN7TEwug==" spinCount="100000" sheet="1" objects="1" scenarios="1" formatCells="0" selectLockedCells="1"/>
  <conditionalFormatting sqref="D7:AH106">
    <cfRule type="cellIs" dxfId="23" priority="1" operator="greaterThan">
      <formula>",,"</formula>
    </cfRule>
    <cfRule type="cellIs" dxfId="2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FD4F-A45F-4202-8724-78BCEF9C593F}">
  <dimension ref="A1:AI107"/>
  <sheetViews>
    <sheetView zoomScaleNormal="100" workbookViewId="0">
      <pane xSplit="3" topLeftCell="Z1" activePane="topRight" state="frozen"/>
      <selection pane="topRight" activeCell="B14" sqref="B14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 t="s">
        <v>6</v>
      </c>
      <c r="C7" s="8" t="s">
        <v>53</v>
      </c>
      <c r="D7" s="6"/>
      <c r="E7" s="6"/>
      <c r="F7" s="6">
        <v>6</v>
      </c>
      <c r="G7" s="4">
        <v>5</v>
      </c>
      <c r="H7" s="4">
        <v>6</v>
      </c>
      <c r="I7" s="4">
        <v>6.9010999999999996</v>
      </c>
      <c r="J7" s="4">
        <v>8.3316999999999979</v>
      </c>
      <c r="K7" s="4"/>
      <c r="L7" s="4"/>
      <c r="M7" s="4">
        <v>6.953000000000003</v>
      </c>
      <c r="N7" s="4">
        <v>7.4448000000000008</v>
      </c>
      <c r="O7" s="4">
        <v>1.490000000000002</v>
      </c>
      <c r="P7" s="4">
        <v>3</v>
      </c>
      <c r="Q7" s="4">
        <v>6</v>
      </c>
      <c r="R7" s="4"/>
      <c r="S7" s="4"/>
      <c r="T7" s="4">
        <v>7.88689999999999</v>
      </c>
      <c r="U7" s="4">
        <v>3.0294000000000096</v>
      </c>
      <c r="V7" s="4">
        <v>9.3208999999999946</v>
      </c>
      <c r="W7" s="4">
        <v>3.4089000000000027</v>
      </c>
      <c r="X7" s="4">
        <v>9.4872000000000014</v>
      </c>
      <c r="Y7" s="4"/>
      <c r="Z7" s="4"/>
      <c r="AA7" s="4">
        <v>2.9355000000000047</v>
      </c>
      <c r="AB7" s="4"/>
      <c r="AC7" s="4">
        <v>4.8747999999999934</v>
      </c>
      <c r="AD7" s="4">
        <v>6.8</v>
      </c>
      <c r="AE7" s="4">
        <v>8.8000000000000007</v>
      </c>
      <c r="AF7" s="4"/>
      <c r="AG7" s="4"/>
      <c r="AH7" s="4"/>
      <c r="AI7" s="2">
        <f t="shared" ref="AI7:AI106" si="0">SUM(D7:AH7)</f>
        <v>113.66419999999999</v>
      </c>
    </row>
    <row r="8" spans="1:35" x14ac:dyDescent="0.3">
      <c r="A8" s="24">
        <v>2</v>
      </c>
      <c r="B8" s="8" t="s">
        <v>123</v>
      </c>
      <c r="C8" s="8" t="s">
        <v>38</v>
      </c>
      <c r="D8" s="6"/>
      <c r="E8" s="6"/>
      <c r="F8" s="40">
        <v>3</v>
      </c>
      <c r="G8" s="6">
        <v>4</v>
      </c>
      <c r="H8" s="6">
        <v>1.5</v>
      </c>
      <c r="I8" s="6">
        <v>1.1000000000000001</v>
      </c>
      <c r="J8" s="6">
        <v>0.56559999999999988</v>
      </c>
      <c r="K8" s="6"/>
      <c r="L8" s="6"/>
      <c r="M8" s="6"/>
      <c r="N8" s="6"/>
      <c r="O8" s="6"/>
      <c r="P8" s="6"/>
      <c r="Q8" s="42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10.1656</v>
      </c>
    </row>
    <row r="9" spans="1:35" x14ac:dyDescent="0.3">
      <c r="A9" s="24">
        <v>3</v>
      </c>
      <c r="B9" s="8" t="s">
        <v>54</v>
      </c>
      <c r="C9" s="8" t="s">
        <v>38</v>
      </c>
      <c r="D9" s="6"/>
      <c r="E9" s="6"/>
      <c r="F9" s="40"/>
      <c r="G9" s="6"/>
      <c r="H9" s="6">
        <v>1.3</v>
      </c>
      <c r="I9" s="6">
        <v>0.5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1.8</v>
      </c>
    </row>
    <row r="10" spans="1:35" x14ac:dyDescent="0.3">
      <c r="A10" s="24">
        <v>4</v>
      </c>
      <c r="B10" s="7" t="s">
        <v>36</v>
      </c>
      <c r="C10" s="8" t="s">
        <v>38</v>
      </c>
      <c r="D10" s="6"/>
      <c r="E10" s="6"/>
      <c r="F10" s="6"/>
      <c r="G10" s="6"/>
      <c r="H10" s="6"/>
      <c r="I10" s="6">
        <v>0.5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0.5</v>
      </c>
    </row>
    <row r="11" spans="1:35" x14ac:dyDescent="0.3">
      <c r="A11" s="24">
        <v>5</v>
      </c>
      <c r="B11" s="7" t="s">
        <v>52</v>
      </c>
      <c r="C11" s="8" t="s">
        <v>55</v>
      </c>
      <c r="D11" s="6"/>
      <c r="E11" s="6"/>
      <c r="F11" s="6"/>
      <c r="G11" s="6"/>
      <c r="H11" s="6"/>
      <c r="I11" s="6"/>
      <c r="J11" s="6"/>
      <c r="K11" s="6"/>
      <c r="L11" s="6"/>
      <c r="M11" s="6">
        <v>2.375</v>
      </c>
      <c r="N11" s="40">
        <v>1.6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3.9750000000000001</v>
      </c>
    </row>
    <row r="12" spans="1:35" x14ac:dyDescent="0.3">
      <c r="A12" s="24">
        <v>6</v>
      </c>
      <c r="B12" s="7" t="s">
        <v>56</v>
      </c>
      <c r="C12" s="8" t="s">
        <v>57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0.64780000000000004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0.64780000000000004</v>
      </c>
    </row>
    <row r="13" spans="1:35" x14ac:dyDescent="0.3">
      <c r="A13" s="24">
        <v>7</v>
      </c>
      <c r="B13" s="7" t="s">
        <v>58</v>
      </c>
      <c r="C13" s="8" t="s">
        <v>59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3.3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3.3</v>
      </c>
    </row>
    <row r="14" spans="1:35" x14ac:dyDescent="0.3">
      <c r="A14" s="24">
        <v>8</v>
      </c>
      <c r="B14" s="7" t="s">
        <v>60</v>
      </c>
      <c r="C14" s="8" t="s">
        <v>61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>
        <v>1.1203000000000001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1.1203000000000001</v>
      </c>
    </row>
    <row r="15" spans="1:35" x14ac:dyDescent="0.3">
      <c r="A15" s="24">
        <v>9</v>
      </c>
      <c r="B15" s="7" t="s">
        <v>6</v>
      </c>
      <c r="C15" s="8" t="s">
        <v>42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2.4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2.4</v>
      </c>
    </row>
    <row r="16" spans="1:35" x14ac:dyDescent="0.3">
      <c r="A16" s="24">
        <v>10</v>
      </c>
      <c r="B16" s="7" t="s">
        <v>62</v>
      </c>
      <c r="C16" s="7" t="s">
        <v>63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6</v>
      </c>
      <c r="Q16" s="6">
        <v>3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9</v>
      </c>
    </row>
    <row r="17" spans="1:35" x14ac:dyDescent="0.3">
      <c r="A17" s="24">
        <v>11</v>
      </c>
      <c r="B17" s="7" t="s">
        <v>64</v>
      </c>
      <c r="C17" s="8" t="s">
        <v>65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2"/>
      <c r="Q17" s="6"/>
      <c r="R17" s="6"/>
      <c r="S17" s="6"/>
      <c r="T17" s="6">
        <v>1.0939000000000001</v>
      </c>
      <c r="U17" s="6">
        <v>1.1675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2.2614000000000001</v>
      </c>
    </row>
    <row r="18" spans="1:35" x14ac:dyDescent="0.3">
      <c r="A18" s="24">
        <v>12</v>
      </c>
      <c r="B18" s="7" t="s">
        <v>66</v>
      </c>
      <c r="C18" s="8" t="s">
        <v>67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1.45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1.45</v>
      </c>
    </row>
    <row r="19" spans="1:35" x14ac:dyDescent="0.3">
      <c r="A19" s="24">
        <v>13</v>
      </c>
      <c r="B19" s="7" t="s">
        <v>68</v>
      </c>
      <c r="C19" s="8" t="s">
        <v>67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3.7227999999999999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3.7227999999999999</v>
      </c>
    </row>
    <row r="20" spans="1:35" x14ac:dyDescent="0.3">
      <c r="A20" s="24">
        <v>14</v>
      </c>
      <c r="B20" s="7" t="s">
        <v>51</v>
      </c>
      <c r="C20" s="7" t="s">
        <v>69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1.2588999999999999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1.2588999999999999</v>
      </c>
    </row>
    <row r="21" spans="1:35" x14ac:dyDescent="0.3">
      <c r="A21" s="24">
        <v>15</v>
      </c>
      <c r="B21" s="7" t="s">
        <v>64</v>
      </c>
      <c r="C21" s="8" t="s">
        <v>70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4.8369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4.8369</v>
      </c>
    </row>
    <row r="22" spans="1:35" x14ac:dyDescent="0.3">
      <c r="A22" s="24">
        <v>16</v>
      </c>
      <c r="B22" s="7" t="s">
        <v>10</v>
      </c>
      <c r="C22" s="7" t="s">
        <v>38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1.1786000000000001</v>
      </c>
      <c r="AB22" s="6"/>
      <c r="AC22" s="6"/>
      <c r="AD22" s="6"/>
      <c r="AE22" s="6"/>
      <c r="AF22" s="6"/>
      <c r="AG22" s="6"/>
      <c r="AH22" s="6"/>
      <c r="AI22" s="2">
        <f t="shared" si="0"/>
        <v>1.1786000000000001</v>
      </c>
    </row>
    <row r="23" spans="1:35" x14ac:dyDescent="0.3">
      <c r="A23" s="24">
        <v>17</v>
      </c>
      <c r="B23" s="7" t="s">
        <v>64</v>
      </c>
      <c r="C23" s="7" t="s">
        <v>71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2.8018999999999998</v>
      </c>
      <c r="AB23" s="6">
        <v>5.5728000000000009</v>
      </c>
      <c r="AC23" s="6"/>
      <c r="AD23" s="6"/>
      <c r="AE23" s="6"/>
      <c r="AF23" s="6"/>
      <c r="AG23" s="6"/>
      <c r="AH23" s="6"/>
      <c r="AI23" s="2">
        <f t="shared" si="0"/>
        <v>8.3747000000000007</v>
      </c>
    </row>
    <row r="24" spans="1:35" x14ac:dyDescent="0.3">
      <c r="A24" s="24">
        <v>18</v>
      </c>
      <c r="B24" s="7" t="s">
        <v>8</v>
      </c>
      <c r="C24" s="8" t="s">
        <v>47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2.1577999999999999</v>
      </c>
      <c r="AB24" s="6">
        <v>1.1061000000000001</v>
      </c>
      <c r="AC24" s="6">
        <v>2.3072000000000004</v>
      </c>
      <c r="AD24" s="6">
        <v>0.32699999999999996</v>
      </c>
      <c r="AE24" s="6"/>
      <c r="AF24" s="6"/>
      <c r="AG24" s="6"/>
      <c r="AH24" s="6"/>
      <c r="AI24" s="2">
        <f t="shared" si="0"/>
        <v>5.8981000000000003</v>
      </c>
    </row>
    <row r="25" spans="1:35" x14ac:dyDescent="0.3">
      <c r="A25" s="24">
        <v>19</v>
      </c>
      <c r="B25" s="7" t="s">
        <v>39</v>
      </c>
      <c r="C25" s="5" t="s">
        <v>47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2.2046999999999999</v>
      </c>
      <c r="AC25" s="6"/>
      <c r="AD25" s="6"/>
      <c r="AE25" s="6"/>
      <c r="AF25" s="6"/>
      <c r="AG25" s="6"/>
      <c r="AH25" s="6"/>
      <c r="AI25" s="2">
        <f t="shared" si="0"/>
        <v>2.2046999999999999</v>
      </c>
    </row>
    <row r="26" spans="1:35" x14ac:dyDescent="0.3">
      <c r="A26" s="24">
        <v>20</v>
      </c>
      <c r="B26" s="7" t="s">
        <v>72</v>
      </c>
      <c r="C26" s="8" t="s">
        <v>73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2.1257999999999999</v>
      </c>
      <c r="AD26" s="6"/>
      <c r="AE26" s="6"/>
      <c r="AF26" s="6"/>
      <c r="AG26" s="6"/>
      <c r="AH26" s="6"/>
      <c r="AI26" s="2">
        <f t="shared" si="0"/>
        <v>2.1257999999999999</v>
      </c>
    </row>
    <row r="27" spans="1:35" x14ac:dyDescent="0.3">
      <c r="A27" s="24">
        <v>21</v>
      </c>
      <c r="B27" s="7" t="s">
        <v>56</v>
      </c>
      <c r="C27" s="8" t="s">
        <v>74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>
        <v>1.7139</v>
      </c>
      <c r="AE27" s="6"/>
      <c r="AF27" s="6"/>
      <c r="AG27" s="6"/>
      <c r="AH27" s="6"/>
      <c r="AI27" s="2">
        <f t="shared" si="0"/>
        <v>1.7139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4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9</v>
      </c>
      <c r="G107" s="3">
        <f t="shared" si="1"/>
        <v>9</v>
      </c>
      <c r="H107" s="3">
        <f t="shared" si="1"/>
        <v>8.8000000000000007</v>
      </c>
      <c r="I107" s="3">
        <f t="shared" si="1"/>
        <v>9.0010999999999992</v>
      </c>
      <c r="J107" s="3">
        <f t="shared" si="1"/>
        <v>8.8972999999999978</v>
      </c>
      <c r="K107" s="3">
        <f t="shared" si="1"/>
        <v>0</v>
      </c>
      <c r="L107" s="3">
        <f t="shared" si="1"/>
        <v>0</v>
      </c>
      <c r="M107" s="3">
        <f t="shared" si="1"/>
        <v>9.328000000000003</v>
      </c>
      <c r="N107" s="3">
        <f t="shared" si="1"/>
        <v>9.0448000000000004</v>
      </c>
      <c r="O107" s="3">
        <f t="shared" si="1"/>
        <v>8.9581000000000017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0</v>
      </c>
      <c r="T107" s="3">
        <f t="shared" si="1"/>
        <v>8.9807999999999897</v>
      </c>
      <c r="U107" s="3">
        <f t="shared" si="1"/>
        <v>9.3697000000000106</v>
      </c>
      <c r="V107" s="3">
        <f t="shared" si="1"/>
        <v>9.3208999999999946</v>
      </c>
      <c r="W107" s="3">
        <f t="shared" si="1"/>
        <v>9.5047000000000033</v>
      </c>
      <c r="X107" s="3">
        <f t="shared" si="1"/>
        <v>9.4872000000000014</v>
      </c>
      <c r="Y107" s="3">
        <f t="shared" si="1"/>
        <v>0</v>
      </c>
      <c r="Z107" s="3">
        <f t="shared" si="1"/>
        <v>0</v>
      </c>
      <c r="AA107" s="3">
        <f t="shared" si="1"/>
        <v>9.0738000000000056</v>
      </c>
      <c r="AB107" s="3">
        <f t="shared" si="1"/>
        <v>8.8836000000000013</v>
      </c>
      <c r="AC107" s="3">
        <f t="shared" si="1"/>
        <v>9.3077999999999932</v>
      </c>
      <c r="AD107" s="3">
        <f t="shared" si="1"/>
        <v>8.8408999999999995</v>
      </c>
      <c r="AE107" s="3">
        <f t="shared" si="1"/>
        <v>8.8000000000000007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181.59870000000001</v>
      </c>
    </row>
  </sheetData>
  <sheetProtection algorithmName="SHA-512" hashValue="ersFyKaL1Yrmj3HkRux4wbOkVTCmRKUkgbWfGCO/0HE+nNn3GDRvOJdAZwITF2q/ocdKMm6NaI4IKsh1DAHeXA==" saltValue="DYJyE8ub9BzSsZPBs+fbpw==" spinCount="100000" sheet="1" objects="1" scenarios="1" formatCells="0" selectLockedCells="1"/>
  <conditionalFormatting sqref="D7:AH106">
    <cfRule type="cellIs" dxfId="21" priority="1" operator="greaterThan">
      <formula>",,"</formula>
    </cfRule>
    <cfRule type="cellIs" dxfId="2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00C6-D4D6-4BD4-90F6-39954C6CBB18}">
  <dimension ref="A1:AI107"/>
  <sheetViews>
    <sheetView zoomScale="82" zoomScaleNormal="82" workbookViewId="0">
      <pane xSplit="3" topLeftCell="Z1" activePane="topRight" state="frozen"/>
      <selection pane="topRight" activeCell="AB12" sqref="AB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68</v>
      </c>
      <c r="C7" s="13" t="s">
        <v>67</v>
      </c>
      <c r="D7" s="12"/>
      <c r="E7" s="4"/>
      <c r="F7" s="4"/>
      <c r="G7" s="4"/>
      <c r="H7" s="4"/>
      <c r="I7" s="4"/>
      <c r="J7" s="4">
        <v>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2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4</v>
      </c>
    </row>
    <row r="8" spans="1:35" x14ac:dyDescent="0.3">
      <c r="A8" s="24">
        <v>2</v>
      </c>
      <c r="B8" s="7" t="s">
        <v>64</v>
      </c>
      <c r="C8" s="8" t="s">
        <v>71</v>
      </c>
      <c r="D8" s="6"/>
      <c r="E8" s="6"/>
      <c r="F8" s="6"/>
      <c r="G8" s="6"/>
      <c r="H8" s="40"/>
      <c r="I8" s="6"/>
      <c r="J8" s="6">
        <v>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40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2</v>
      </c>
    </row>
    <row r="9" spans="1:35" x14ac:dyDescent="0.3">
      <c r="A9" s="24">
        <v>3</v>
      </c>
      <c r="B9" s="8" t="s">
        <v>66</v>
      </c>
      <c r="C9" s="8" t="s">
        <v>75</v>
      </c>
      <c r="D9" s="6"/>
      <c r="E9" s="6"/>
      <c r="F9" s="40"/>
      <c r="G9" s="6"/>
      <c r="H9" s="6"/>
      <c r="I9" s="6"/>
      <c r="J9" s="6">
        <v>2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40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2</v>
      </c>
    </row>
    <row r="10" spans="1:35" x14ac:dyDescent="0.3">
      <c r="A10" s="24">
        <v>4</v>
      </c>
      <c r="B10" s="7" t="s">
        <v>76</v>
      </c>
      <c r="C10" s="8" t="s">
        <v>77</v>
      </c>
      <c r="D10" s="6"/>
      <c r="E10" s="6"/>
      <c r="F10" s="6"/>
      <c r="G10" s="6"/>
      <c r="H10" s="6"/>
      <c r="I10" s="6"/>
      <c r="J10" s="6">
        <v>1.0158</v>
      </c>
      <c r="K10" s="6"/>
      <c r="L10" s="6"/>
      <c r="M10" s="6"/>
      <c r="N10" s="6"/>
      <c r="O10" s="6">
        <v>2</v>
      </c>
      <c r="P10" s="6"/>
      <c r="Q10" s="6">
        <v>4.3316999999999997</v>
      </c>
      <c r="R10" s="6"/>
      <c r="S10" s="6"/>
      <c r="T10" s="6">
        <v>3.2081</v>
      </c>
      <c r="U10" s="6">
        <v>1.8593999999999991</v>
      </c>
      <c r="V10" s="6"/>
      <c r="W10" s="40">
        <v>7.1999999999999993</v>
      </c>
      <c r="X10" s="6">
        <v>0.59750000000000014</v>
      </c>
      <c r="Y10" s="6"/>
      <c r="Z10" s="6"/>
      <c r="AA10" s="6">
        <v>3.1644000000000005</v>
      </c>
      <c r="AB10" s="6"/>
      <c r="AC10" s="6">
        <v>1.3359000000000023</v>
      </c>
      <c r="AD10" s="6">
        <v>3.5535999999999994</v>
      </c>
      <c r="AE10" s="6">
        <v>3.2521999999999984</v>
      </c>
      <c r="AF10" s="6"/>
      <c r="AG10" s="6"/>
      <c r="AH10" s="6">
        <v>2.1158000000000001</v>
      </c>
      <c r="AI10" s="2">
        <f t="shared" si="0"/>
        <v>33.634399999999999</v>
      </c>
    </row>
    <row r="11" spans="1:35" x14ac:dyDescent="0.3">
      <c r="A11" s="24">
        <v>5</v>
      </c>
      <c r="B11" s="7" t="s">
        <v>6</v>
      </c>
      <c r="C11" s="44" t="s">
        <v>53</v>
      </c>
      <c r="D11" s="6"/>
      <c r="E11" s="6"/>
      <c r="F11" s="6"/>
      <c r="G11" s="6"/>
      <c r="H11" s="6"/>
      <c r="I11" s="6"/>
      <c r="J11" s="6"/>
      <c r="K11" s="6"/>
      <c r="L11" s="6"/>
      <c r="M11" s="6">
        <v>7</v>
      </c>
      <c r="N11" s="6">
        <v>4</v>
      </c>
      <c r="O11" s="6"/>
      <c r="P11" s="6"/>
      <c r="Q11" s="6"/>
      <c r="R11" s="6"/>
      <c r="S11" s="6"/>
      <c r="T11" s="6"/>
      <c r="U11" s="40">
        <v>7.1</v>
      </c>
      <c r="V11" s="6">
        <v>7.6</v>
      </c>
      <c r="W11" s="40">
        <v>2</v>
      </c>
      <c r="X11" s="6">
        <v>3</v>
      </c>
      <c r="Y11" s="6"/>
      <c r="Z11" s="6"/>
      <c r="AA11" s="6">
        <v>6</v>
      </c>
      <c r="AB11" s="6">
        <v>7.3</v>
      </c>
      <c r="AC11" s="6">
        <v>3.8254999999999768</v>
      </c>
      <c r="AD11" s="6"/>
      <c r="AE11" s="6"/>
      <c r="AF11" s="6"/>
      <c r="AG11" s="6"/>
      <c r="AH11" s="6"/>
      <c r="AI11" s="2">
        <f t="shared" si="0"/>
        <v>47.825499999999977</v>
      </c>
    </row>
    <row r="12" spans="1:35" x14ac:dyDescent="0.3">
      <c r="A12" s="24">
        <v>6</v>
      </c>
      <c r="B12" s="7" t="s">
        <v>60</v>
      </c>
      <c r="C12" s="8" t="s">
        <v>61</v>
      </c>
      <c r="D12" s="6"/>
      <c r="E12" s="6"/>
      <c r="F12" s="6"/>
      <c r="G12" s="6"/>
      <c r="H12" s="6"/>
      <c r="I12" s="6"/>
      <c r="J12" s="6"/>
      <c r="K12" s="6"/>
      <c r="L12" s="6"/>
      <c r="M12" s="6">
        <v>2</v>
      </c>
      <c r="N12" s="6">
        <v>1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3</v>
      </c>
    </row>
    <row r="13" spans="1:35" x14ac:dyDescent="0.3">
      <c r="A13" s="24">
        <v>7</v>
      </c>
      <c r="B13" s="7" t="s">
        <v>66</v>
      </c>
      <c r="C13" s="8" t="s">
        <v>78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42">
        <v>4.03</v>
      </c>
      <c r="O13" s="6">
        <v>1</v>
      </c>
      <c r="P13" s="6">
        <v>0.16529999999999934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5.1952999999999996</v>
      </c>
    </row>
    <row r="14" spans="1:35" x14ac:dyDescent="0.3">
      <c r="A14" s="24">
        <v>8</v>
      </c>
      <c r="B14" s="7" t="s">
        <v>66</v>
      </c>
      <c r="C14" s="8" t="s">
        <v>67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>
        <v>2.9603000000000002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2.9603000000000002</v>
      </c>
    </row>
    <row r="15" spans="1:35" x14ac:dyDescent="0.3">
      <c r="A15" s="24">
        <v>9</v>
      </c>
      <c r="B15" s="7" t="s">
        <v>79</v>
      </c>
      <c r="C15" s="8" t="s">
        <v>38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3</v>
      </c>
      <c r="P15" s="6">
        <v>4.6680999999999999</v>
      </c>
      <c r="Q15" s="6">
        <v>5.2702</v>
      </c>
      <c r="R15" s="6"/>
      <c r="S15" s="6"/>
      <c r="T15" s="6">
        <v>5.1986000000000008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18.136900000000001</v>
      </c>
    </row>
    <row r="16" spans="1:35" x14ac:dyDescent="0.3">
      <c r="A16" s="24">
        <v>10</v>
      </c>
      <c r="B16" s="7" t="s">
        <v>64</v>
      </c>
      <c r="C16" s="7" t="s">
        <v>70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2.2000000000000002</v>
      </c>
      <c r="Q16" s="6"/>
      <c r="R16" s="6"/>
      <c r="S16" s="6"/>
      <c r="T16" s="6"/>
      <c r="U16" s="6"/>
      <c r="V16" s="6"/>
      <c r="W16" s="6"/>
      <c r="X16" s="6">
        <v>2.4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4.5999999999999996</v>
      </c>
    </row>
    <row r="17" spans="1:35" x14ac:dyDescent="0.3">
      <c r="A17" s="24">
        <v>11</v>
      </c>
      <c r="B17" s="7" t="s">
        <v>56</v>
      </c>
      <c r="C17" s="8" t="s">
        <v>80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0">
        <v>2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</v>
      </c>
    </row>
    <row r="18" spans="1:35" x14ac:dyDescent="0.3">
      <c r="A18" s="24">
        <v>12</v>
      </c>
      <c r="B18" s="7" t="s">
        <v>62</v>
      </c>
      <c r="C18" s="8" t="s">
        <v>63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0.60609999999999964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0.60609999999999964</v>
      </c>
    </row>
    <row r="19" spans="1:35" x14ac:dyDescent="0.3">
      <c r="A19" s="24">
        <v>13</v>
      </c>
      <c r="B19" s="7" t="s">
        <v>81</v>
      </c>
      <c r="C19" s="8" t="s">
        <v>82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1.5747</v>
      </c>
      <c r="W19" s="6"/>
      <c r="X19" s="6">
        <v>0.86890000000000001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2.4436</v>
      </c>
    </row>
    <row r="20" spans="1:35" x14ac:dyDescent="0.3">
      <c r="A20" s="24">
        <v>14</v>
      </c>
      <c r="B20" s="7" t="s">
        <v>58</v>
      </c>
      <c r="C20" s="7" t="s">
        <v>59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>
        <v>2.1116999999999999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2.1116999999999999</v>
      </c>
    </row>
    <row r="21" spans="1:35" x14ac:dyDescent="0.3">
      <c r="A21" s="24">
        <v>15</v>
      </c>
      <c r="B21" s="7" t="s">
        <v>83</v>
      </c>
      <c r="C21" s="8" t="s">
        <v>63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2.0531000000000001</v>
      </c>
      <c r="AC21" s="6">
        <v>0.54499999999999993</v>
      </c>
      <c r="AD21" s="6">
        <v>0.73970000000000002</v>
      </c>
      <c r="AE21" s="6"/>
      <c r="AF21" s="6"/>
      <c r="AG21" s="6"/>
      <c r="AH21" s="6">
        <v>0.97659999999999991</v>
      </c>
      <c r="AI21" s="2">
        <f t="shared" si="0"/>
        <v>4.3144</v>
      </c>
    </row>
    <row r="22" spans="1:35" x14ac:dyDescent="0.3">
      <c r="A22" s="24">
        <v>16</v>
      </c>
      <c r="B22" s="7" t="s">
        <v>36</v>
      </c>
      <c r="C22" s="7" t="s">
        <v>84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3.8353000000000002</v>
      </c>
      <c r="AD22" s="6">
        <v>5.1418999999999997</v>
      </c>
      <c r="AE22" s="6">
        <v>5.5225000000000009</v>
      </c>
      <c r="AF22" s="6"/>
      <c r="AG22" s="6"/>
      <c r="AH22" s="6">
        <v>4.1292000000000009</v>
      </c>
      <c r="AI22" s="2">
        <f t="shared" si="0"/>
        <v>18.628900000000002</v>
      </c>
    </row>
    <row r="23" spans="1:35" x14ac:dyDescent="0.3">
      <c r="A23" s="24">
        <v>17</v>
      </c>
      <c r="B23" s="7" t="s">
        <v>85</v>
      </c>
      <c r="C23" s="7" t="s">
        <v>86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1.7871999999999999</v>
      </c>
      <c r="AI23" s="2">
        <f t="shared" si="0"/>
        <v>1.7871999999999999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9.0158000000000005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9.0300000000000011</v>
      </c>
      <c r="O107" s="3">
        <f t="shared" si="1"/>
        <v>8.9603000000000002</v>
      </c>
      <c r="P107" s="3">
        <f t="shared" si="1"/>
        <v>9.0334000000000003</v>
      </c>
      <c r="Q107" s="3">
        <f t="shared" si="1"/>
        <v>9.6019000000000005</v>
      </c>
      <c r="R107" s="3">
        <f t="shared" si="1"/>
        <v>0</v>
      </c>
      <c r="S107" s="3">
        <f t="shared" si="1"/>
        <v>0</v>
      </c>
      <c r="T107" s="3">
        <f t="shared" si="1"/>
        <v>9.0128000000000004</v>
      </c>
      <c r="U107" s="3">
        <f t="shared" si="1"/>
        <v>8.9593999999999987</v>
      </c>
      <c r="V107" s="3">
        <f t="shared" si="1"/>
        <v>9.1746999999999996</v>
      </c>
      <c r="W107" s="3">
        <f t="shared" si="1"/>
        <v>9.1999999999999993</v>
      </c>
      <c r="X107" s="3">
        <f t="shared" si="1"/>
        <v>8.9781000000000013</v>
      </c>
      <c r="Y107" s="3">
        <f t="shared" si="1"/>
        <v>0</v>
      </c>
      <c r="Z107" s="3">
        <f t="shared" si="1"/>
        <v>0</v>
      </c>
      <c r="AA107" s="3">
        <f t="shared" si="1"/>
        <v>9.1644000000000005</v>
      </c>
      <c r="AB107" s="3">
        <f t="shared" si="1"/>
        <v>9.3530999999999995</v>
      </c>
      <c r="AC107" s="3">
        <f t="shared" si="1"/>
        <v>9.5416999999999792</v>
      </c>
      <c r="AD107" s="3">
        <f t="shared" si="1"/>
        <v>9.4351999999999983</v>
      </c>
      <c r="AE107" s="3">
        <f t="shared" si="1"/>
        <v>8.7746999999999993</v>
      </c>
      <c r="AF107" s="3">
        <f t="shared" si="1"/>
        <v>0</v>
      </c>
      <c r="AG107" s="3">
        <f t="shared" si="1"/>
        <v>0</v>
      </c>
      <c r="AH107" s="3">
        <f t="shared" si="1"/>
        <v>9.0088000000000008</v>
      </c>
      <c r="AI107" s="1">
        <f>SUM(D107:AH107)</f>
        <v>155.24430000000001</v>
      </c>
    </row>
  </sheetData>
  <sheetProtection algorithmName="SHA-512" hashValue="2mZfh0fwmCN9ecIPdIhe60jaxl9c5y70AajlXf/DMZ6zyZkY7IXNNI+sDfDoDAJ6r1NK52QMqMgyc8PwLzxDrQ==" saltValue="CVhD2OII+FM3ahGIRAMfcg==" spinCount="100000" sheet="1" objects="1" scenarios="1" formatCells="0" selectLockedCells="1"/>
  <conditionalFormatting sqref="D7:AH106">
    <cfRule type="cellIs" dxfId="19" priority="1" operator="greaterThan">
      <formula>",,"</formula>
    </cfRule>
    <cfRule type="cellIs" dxfId="1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981A-A536-445A-86C9-D8EF3330F164}">
  <dimension ref="A1:AI107"/>
  <sheetViews>
    <sheetView zoomScale="85" zoomScaleNormal="85" workbookViewId="0">
      <pane xSplit="3" topLeftCell="D1" activePane="topRight" state="frozen"/>
      <selection pane="topRight" activeCell="E12" sqref="E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76</v>
      </c>
      <c r="C7" s="13" t="s">
        <v>87</v>
      </c>
      <c r="D7" s="12">
        <v>0.55279999999999996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>
        <v>1.9033000000000002</v>
      </c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2.4561000000000002</v>
      </c>
    </row>
    <row r="8" spans="1:35" x14ac:dyDescent="0.3">
      <c r="A8" s="24">
        <v>2</v>
      </c>
      <c r="B8" s="7" t="s">
        <v>85</v>
      </c>
      <c r="C8" s="8" t="s">
        <v>22</v>
      </c>
      <c r="D8" s="6">
        <v>5.6296999999999997</v>
      </c>
      <c r="E8" s="6"/>
      <c r="F8" s="6">
        <v>0.47390000000000043</v>
      </c>
      <c r="G8" s="6"/>
      <c r="H8" s="40"/>
      <c r="I8" s="6"/>
      <c r="J8" s="6">
        <v>0.83640000000000025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6.94</v>
      </c>
    </row>
    <row r="9" spans="1:35" x14ac:dyDescent="0.3">
      <c r="A9" s="24">
        <v>3</v>
      </c>
      <c r="B9" s="8" t="s">
        <v>88</v>
      </c>
      <c r="C9" s="8" t="s">
        <v>89</v>
      </c>
      <c r="D9" s="6">
        <v>1.9497</v>
      </c>
      <c r="E9" s="6">
        <v>7.1920000000000002</v>
      </c>
      <c r="F9" s="40">
        <v>2.7957999999999998</v>
      </c>
      <c r="G9" s="6">
        <v>5.8872</v>
      </c>
      <c r="H9" s="6"/>
      <c r="I9" s="6"/>
      <c r="J9" s="6">
        <v>4.4166999999999987</v>
      </c>
      <c r="K9" s="6">
        <v>6.482800000000001</v>
      </c>
      <c r="L9" s="6">
        <v>3.6733000000000011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32.397500000000001</v>
      </c>
    </row>
    <row r="10" spans="1:35" x14ac:dyDescent="0.3">
      <c r="A10" s="24">
        <v>4</v>
      </c>
      <c r="B10" s="7" t="s">
        <v>90</v>
      </c>
      <c r="C10" s="8" t="s">
        <v>91</v>
      </c>
      <c r="D10" s="6">
        <v>1.2253000000000001</v>
      </c>
      <c r="E10" s="6"/>
      <c r="F10" s="6">
        <v>6.0147000000000004</v>
      </c>
      <c r="G10" s="6">
        <v>3.3705999999999996</v>
      </c>
      <c r="H10" s="6"/>
      <c r="I10" s="6"/>
      <c r="J10" s="6">
        <v>4.0538000000000007</v>
      </c>
      <c r="K10" s="6"/>
      <c r="L10" s="6"/>
      <c r="M10" s="6"/>
      <c r="N10" s="6"/>
      <c r="O10" s="6"/>
      <c r="P10" s="6"/>
      <c r="Q10" s="6"/>
      <c r="R10" s="6"/>
      <c r="S10" s="6"/>
      <c r="T10" s="6">
        <v>1.7902999999999984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16.454699999999999</v>
      </c>
    </row>
    <row r="11" spans="1:35" x14ac:dyDescent="0.3">
      <c r="A11" s="24">
        <v>5</v>
      </c>
      <c r="B11" s="7" t="s">
        <v>56</v>
      </c>
      <c r="C11" s="8" t="s">
        <v>92</v>
      </c>
      <c r="D11" s="6"/>
      <c r="E11" s="6">
        <v>2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2</v>
      </c>
    </row>
    <row r="12" spans="1:35" x14ac:dyDescent="0.3">
      <c r="A12" s="24">
        <v>6</v>
      </c>
      <c r="B12" s="7" t="s">
        <v>60</v>
      </c>
      <c r="C12" s="8" t="s">
        <v>18</v>
      </c>
      <c r="D12" s="6"/>
      <c r="E12" s="6"/>
      <c r="F12" s="6"/>
      <c r="G12" s="6"/>
      <c r="H12" s="6"/>
      <c r="I12" s="6"/>
      <c r="J12" s="6"/>
      <c r="K12" s="6">
        <v>2.9030999999999998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2.9030999999999998</v>
      </c>
    </row>
    <row r="13" spans="1:35" x14ac:dyDescent="0.3">
      <c r="A13" s="24">
        <v>7</v>
      </c>
      <c r="B13" s="7" t="s">
        <v>93</v>
      </c>
      <c r="C13" s="8" t="s">
        <v>28</v>
      </c>
      <c r="D13" s="6"/>
      <c r="E13" s="6"/>
      <c r="F13" s="6"/>
      <c r="G13" s="6"/>
      <c r="H13" s="6"/>
      <c r="I13" s="6"/>
      <c r="J13" s="6"/>
      <c r="K13" s="6"/>
      <c r="L13" s="6">
        <v>5.6714000000000002</v>
      </c>
      <c r="M13" s="6">
        <v>9.3577999999999992</v>
      </c>
      <c r="N13" s="6">
        <v>9.2811000000000021</v>
      </c>
      <c r="O13" s="6"/>
      <c r="P13" s="6"/>
      <c r="Q13" s="6">
        <v>4.8107999999999969</v>
      </c>
      <c r="R13" s="6">
        <v>4.7961000000000027</v>
      </c>
      <c r="S13" s="6">
        <v>4.4872000000000014</v>
      </c>
      <c r="T13" s="6">
        <v>4.1299999999999955</v>
      </c>
      <c r="U13" s="6"/>
      <c r="V13" s="6"/>
      <c r="W13" s="6"/>
      <c r="X13" s="6"/>
      <c r="Y13" s="6">
        <v>7.5487000000000037</v>
      </c>
      <c r="Z13" s="6">
        <v>8.5854999999999961</v>
      </c>
      <c r="AA13" s="6">
        <v>8.0592000000000041</v>
      </c>
      <c r="AB13" s="6">
        <v>7.7878000000000043</v>
      </c>
      <c r="AC13" s="6"/>
      <c r="AD13" s="6"/>
      <c r="AE13" s="6">
        <v>9.2690999999999946</v>
      </c>
      <c r="AF13" s="6">
        <v>9.392799999999994</v>
      </c>
      <c r="AG13" s="6">
        <v>4.3447000000000031</v>
      </c>
      <c r="AH13" s="6"/>
      <c r="AI13" s="2">
        <f t="shared" si="0"/>
        <v>97.522199999999998</v>
      </c>
    </row>
    <row r="14" spans="1:35" x14ac:dyDescent="0.3">
      <c r="A14" s="24">
        <v>8</v>
      </c>
      <c r="B14" s="7" t="s">
        <v>94</v>
      </c>
      <c r="C14" s="8" t="s">
        <v>95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>
        <v>4.4417</v>
      </c>
      <c r="R14" s="6">
        <v>4.7740999999999998</v>
      </c>
      <c r="S14" s="6">
        <v>5.48</v>
      </c>
      <c r="T14" s="6">
        <v>0.67140000000000022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4.882200000000001</v>
      </c>
      <c r="AH14" s="6"/>
      <c r="AI14" s="2">
        <f t="shared" si="0"/>
        <v>20.249400000000001</v>
      </c>
    </row>
    <row r="15" spans="1:35" x14ac:dyDescent="0.3">
      <c r="A15" s="24">
        <v>9</v>
      </c>
      <c r="B15" s="7" t="s">
        <v>52</v>
      </c>
      <c r="C15" s="8" t="s">
        <v>96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1.1133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1.1133</v>
      </c>
    </row>
    <row r="16" spans="1:35" x14ac:dyDescent="0.3">
      <c r="A16" s="24">
        <v>10</v>
      </c>
      <c r="B16" s="7" t="s">
        <v>97</v>
      </c>
      <c r="C16" s="7" t="s">
        <v>98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0.2283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0.2283</v>
      </c>
    </row>
    <row r="17" spans="1:35" x14ac:dyDescent="0.3">
      <c r="A17" s="24">
        <v>11</v>
      </c>
      <c r="B17" s="7" t="s">
        <v>10</v>
      </c>
      <c r="C17" s="8" t="s">
        <v>28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1.2656000000000001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1.2656000000000001</v>
      </c>
    </row>
    <row r="18" spans="1:35" x14ac:dyDescent="0.3">
      <c r="A18" s="24">
        <v>12</v>
      </c>
      <c r="B18" s="7" t="s">
        <v>68</v>
      </c>
      <c r="C18" s="8" t="s">
        <v>22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>
        <v>0.94830000000000003</v>
      </c>
      <c r="AA18" s="6"/>
      <c r="AB18" s="6"/>
      <c r="AC18" s="6"/>
      <c r="AD18" s="6"/>
      <c r="AE18" s="6"/>
      <c r="AF18" s="6"/>
      <c r="AG18" s="6"/>
      <c r="AH18" s="6"/>
      <c r="AI18" s="2">
        <f t="shared" si="0"/>
        <v>0.94830000000000003</v>
      </c>
    </row>
    <row r="19" spans="1:35" x14ac:dyDescent="0.3">
      <c r="A19" s="24">
        <v>13</v>
      </c>
      <c r="B19" s="7" t="s">
        <v>94</v>
      </c>
      <c r="C19" s="8" t="s">
        <v>99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1.4202999999999999</v>
      </c>
      <c r="AB19" s="6">
        <v>0.71639999999999993</v>
      </c>
      <c r="AC19" s="6"/>
      <c r="AD19" s="6"/>
      <c r="AE19" s="6"/>
      <c r="AF19" s="6"/>
      <c r="AG19" s="6"/>
      <c r="AH19" s="6"/>
      <c r="AI19" s="2">
        <f t="shared" si="0"/>
        <v>2.1366999999999998</v>
      </c>
    </row>
    <row r="20" spans="1:35" x14ac:dyDescent="0.3">
      <c r="A20" s="24">
        <v>14</v>
      </c>
      <c r="B20" s="7" t="s">
        <v>52</v>
      </c>
      <c r="C20" s="7" t="s">
        <v>100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0.71889999999999998</v>
      </c>
      <c r="AC20" s="6"/>
      <c r="AD20" s="6"/>
      <c r="AE20" s="6"/>
      <c r="AF20" s="6"/>
      <c r="AG20" s="6"/>
      <c r="AH20" s="6"/>
      <c r="AI20" s="2">
        <f t="shared" si="0"/>
        <v>0.71889999999999998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9.3574999999999999</v>
      </c>
      <c r="E107" s="11">
        <f t="shared" si="1"/>
        <v>9.1920000000000002</v>
      </c>
      <c r="F107" s="11">
        <f t="shared" si="1"/>
        <v>9.2844000000000015</v>
      </c>
      <c r="G107" s="3">
        <f t="shared" si="1"/>
        <v>9.2577999999999996</v>
      </c>
      <c r="H107" s="3">
        <f t="shared" si="1"/>
        <v>0</v>
      </c>
      <c r="I107" s="3">
        <f t="shared" si="1"/>
        <v>0</v>
      </c>
      <c r="J107" s="3">
        <f t="shared" si="1"/>
        <v>9.3068999999999988</v>
      </c>
      <c r="K107" s="3">
        <f t="shared" si="1"/>
        <v>9.3859000000000012</v>
      </c>
      <c r="L107" s="3">
        <f t="shared" si="1"/>
        <v>9.3447000000000013</v>
      </c>
      <c r="M107" s="3">
        <f t="shared" si="1"/>
        <v>9.3577999999999992</v>
      </c>
      <c r="N107" s="3">
        <f t="shared" si="1"/>
        <v>9.2811000000000021</v>
      </c>
      <c r="O107" s="3">
        <f t="shared" si="1"/>
        <v>0</v>
      </c>
      <c r="P107" s="3">
        <f t="shared" si="1"/>
        <v>0</v>
      </c>
      <c r="Q107" s="3">
        <f t="shared" si="1"/>
        <v>9.2524999999999977</v>
      </c>
      <c r="R107" s="3">
        <f t="shared" si="1"/>
        <v>9.5702000000000034</v>
      </c>
      <c r="S107" s="3">
        <f t="shared" si="1"/>
        <v>9.9672000000000018</v>
      </c>
      <c r="T107" s="3">
        <f t="shared" si="1"/>
        <v>9.1988999999999947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9.4520000000000035</v>
      </c>
      <c r="Z107" s="3">
        <f t="shared" si="1"/>
        <v>9.5337999999999958</v>
      </c>
      <c r="AA107" s="3">
        <f t="shared" si="1"/>
        <v>9.4795000000000034</v>
      </c>
      <c r="AB107" s="3">
        <f t="shared" si="1"/>
        <v>9.2231000000000041</v>
      </c>
      <c r="AC107" s="3">
        <f t="shared" si="1"/>
        <v>0</v>
      </c>
      <c r="AD107" s="3">
        <f t="shared" si="1"/>
        <v>0</v>
      </c>
      <c r="AE107" s="3">
        <f t="shared" si="1"/>
        <v>9.2690999999999946</v>
      </c>
      <c r="AF107" s="3">
        <f t="shared" si="1"/>
        <v>9.392799999999994</v>
      </c>
      <c r="AG107" s="3">
        <f t="shared" si="1"/>
        <v>9.2269000000000041</v>
      </c>
      <c r="AH107" s="3">
        <f t="shared" si="1"/>
        <v>0</v>
      </c>
      <c r="AI107" s="1">
        <f>SUM(D107:AH107)</f>
        <v>187.33410000000001</v>
      </c>
    </row>
  </sheetData>
  <sheetProtection algorithmName="SHA-512" hashValue="M7cpzwIzLyqE4tOtZnrTeuL8hDYkDW7xTMkitshGc2MLRI7c0dObS4vzl60cTDWx+IQCx9PzhwIjOw08mCZvkA==" saltValue="MoaugWZLO0SASpleZgjnMQ==" spinCount="100000" sheet="1" objects="1" scenarios="1" formatCells="0" selectLockedCells="1"/>
  <conditionalFormatting sqref="D7:AH106">
    <cfRule type="cellIs" dxfId="17" priority="1" operator="greaterThan">
      <formula>",,"</formula>
    </cfRule>
    <cfRule type="cellIs" dxfId="1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B95C-7756-494A-8AB1-4999D53EE2EF}">
  <dimension ref="A1:AI107"/>
  <sheetViews>
    <sheetView topLeftCell="A2" zoomScale="130" zoomScaleNormal="130" workbookViewId="0">
      <pane xSplit="3" topLeftCell="AD1" activePane="topRight" state="frozen"/>
      <selection pane="topRight" activeCell="B20" sqref="B20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94</v>
      </c>
      <c r="C7" s="13" t="s">
        <v>99</v>
      </c>
      <c r="D7" s="12"/>
      <c r="E7" s="4">
        <v>4.5154999999999994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4.5154999999999994</v>
      </c>
    </row>
    <row r="8" spans="1:35" x14ac:dyDescent="0.3">
      <c r="A8" s="24">
        <v>2</v>
      </c>
      <c r="B8" s="7" t="s">
        <v>94</v>
      </c>
      <c r="C8" s="8" t="s">
        <v>37</v>
      </c>
      <c r="D8" s="6"/>
      <c r="E8" s="6">
        <v>4.9619</v>
      </c>
      <c r="F8" s="6"/>
      <c r="G8" s="6"/>
      <c r="H8" s="40"/>
      <c r="I8" s="6"/>
      <c r="J8" s="6"/>
      <c r="K8" s="6"/>
      <c r="L8" s="6"/>
      <c r="M8" s="6"/>
      <c r="N8" s="6"/>
      <c r="O8" s="6">
        <v>5.6698000000000004</v>
      </c>
      <c r="P8" s="6">
        <v>3.5282999999999998</v>
      </c>
      <c r="Q8" s="6"/>
      <c r="R8" s="6">
        <v>4.4189000000000007</v>
      </c>
      <c r="S8" s="6">
        <v>7.3254999999999981</v>
      </c>
      <c r="T8" s="6"/>
      <c r="U8" s="6"/>
      <c r="V8" s="6">
        <v>8.8612000000000002</v>
      </c>
      <c r="W8" s="6">
        <v>9.2760999999999996</v>
      </c>
      <c r="X8" s="6">
        <v>2.2972000000000037</v>
      </c>
      <c r="Y8" s="6">
        <v>3.2188999999999979</v>
      </c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49.5578</v>
      </c>
    </row>
    <row r="9" spans="1:35" x14ac:dyDescent="0.3">
      <c r="A9" s="24">
        <v>3</v>
      </c>
      <c r="B9" s="8" t="s">
        <v>93</v>
      </c>
      <c r="C9" s="8" t="s">
        <v>28</v>
      </c>
      <c r="D9" s="6"/>
      <c r="E9" s="6"/>
      <c r="F9" s="40"/>
      <c r="G9" s="6"/>
      <c r="H9" s="6">
        <v>3.8489000000000004</v>
      </c>
      <c r="I9" s="6">
        <v>1.3299999999999983</v>
      </c>
      <c r="J9" s="6"/>
      <c r="K9" s="6">
        <v>1.0520000000000067</v>
      </c>
      <c r="L9" s="6">
        <v>3.0063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>
        <v>7.3</v>
      </c>
      <c r="AG9" s="6">
        <v>9.5180999999999898</v>
      </c>
      <c r="AH9" s="6"/>
      <c r="AI9" s="2">
        <f t="shared" si="0"/>
        <v>26.055299999999995</v>
      </c>
    </row>
    <row r="10" spans="1:35" x14ac:dyDescent="0.3">
      <c r="A10" s="24">
        <v>4</v>
      </c>
      <c r="B10" s="7" t="s">
        <v>101</v>
      </c>
      <c r="C10" s="8" t="s">
        <v>28</v>
      </c>
      <c r="D10" s="6"/>
      <c r="E10" s="6"/>
      <c r="F10" s="6"/>
      <c r="G10" s="6"/>
      <c r="H10" s="6">
        <v>3.2139000000000002</v>
      </c>
      <c r="I10" s="6">
        <v>1.6313999999999997</v>
      </c>
      <c r="J10" s="6">
        <v>4.8208000000000002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9.6661000000000001</v>
      </c>
    </row>
    <row r="11" spans="1:35" x14ac:dyDescent="0.3">
      <c r="A11" s="24">
        <v>5</v>
      </c>
      <c r="B11" s="7" t="s">
        <v>102</v>
      </c>
      <c r="C11" s="8" t="s">
        <v>22</v>
      </c>
      <c r="D11" s="6"/>
      <c r="E11" s="6"/>
      <c r="F11" s="6"/>
      <c r="G11" s="6"/>
      <c r="H11" s="6">
        <v>2.0407999999999999</v>
      </c>
      <c r="I11" s="6">
        <v>3.3948</v>
      </c>
      <c r="J11" s="6"/>
      <c r="K11" s="6"/>
      <c r="L11" s="6">
        <v>3.5676999999999994</v>
      </c>
      <c r="M11" s="6"/>
      <c r="N11" s="6"/>
      <c r="O11" s="6"/>
      <c r="P11" s="6">
        <v>2.0634000000000015</v>
      </c>
      <c r="Q11" s="6">
        <v>3.4018999999999995</v>
      </c>
      <c r="R11" s="6">
        <v>0.88889999999999958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15.3575</v>
      </c>
    </row>
    <row r="12" spans="1:35" x14ac:dyDescent="0.3">
      <c r="A12" s="24">
        <v>6</v>
      </c>
      <c r="B12" s="7" t="s">
        <v>94</v>
      </c>
      <c r="C12" s="8" t="s">
        <v>95</v>
      </c>
      <c r="D12" s="6"/>
      <c r="E12" s="6"/>
      <c r="F12" s="6"/>
      <c r="G12" s="6"/>
      <c r="H12" s="6"/>
      <c r="I12" s="6">
        <v>2.7392000000000003</v>
      </c>
      <c r="J12" s="6">
        <v>0.39579999999999771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3.134999999999998</v>
      </c>
    </row>
    <row r="13" spans="1:35" x14ac:dyDescent="0.3">
      <c r="A13" s="24">
        <v>7</v>
      </c>
      <c r="B13" s="7" t="s">
        <v>103</v>
      </c>
      <c r="C13" s="8" t="s">
        <v>28</v>
      </c>
      <c r="D13" s="6"/>
      <c r="E13" s="6"/>
      <c r="F13" s="6"/>
      <c r="G13" s="6"/>
      <c r="H13" s="6"/>
      <c r="I13" s="6"/>
      <c r="J13" s="6">
        <v>3.8694000000000002</v>
      </c>
      <c r="K13" s="6">
        <v>8.5213999999999999</v>
      </c>
      <c r="L13" s="6">
        <v>2.6024999999999991</v>
      </c>
      <c r="M13" s="6"/>
      <c r="N13" s="6"/>
      <c r="O13" s="6">
        <v>3.5614000000000008</v>
      </c>
      <c r="P13" s="6"/>
      <c r="Q13" s="6"/>
      <c r="R13" s="6">
        <v>4.32</v>
      </c>
      <c r="S13" s="6">
        <v>1.4394999999999989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24.3142</v>
      </c>
    </row>
    <row r="14" spans="1:35" x14ac:dyDescent="0.3">
      <c r="A14" s="24">
        <v>8</v>
      </c>
      <c r="B14" s="7" t="s">
        <v>88</v>
      </c>
      <c r="C14" s="8" t="s">
        <v>89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>
        <v>0.67499999999999716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0.67499999999999716</v>
      </c>
    </row>
    <row r="15" spans="1:35" x14ac:dyDescent="0.3">
      <c r="A15" s="24">
        <v>9</v>
      </c>
      <c r="B15" s="7" t="s">
        <v>36</v>
      </c>
      <c r="C15" s="8" t="s">
        <v>38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0.19499999999999995</v>
      </c>
      <c r="Q15" s="6">
        <v>5.8930999999999996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6.0880999999999998</v>
      </c>
    </row>
    <row r="16" spans="1:35" x14ac:dyDescent="0.3">
      <c r="A16" s="24">
        <v>10</v>
      </c>
      <c r="B16" s="7" t="s">
        <v>104</v>
      </c>
      <c r="C16" s="7" t="s">
        <v>98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>
        <v>6.9881000000000002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6.9881000000000002</v>
      </c>
    </row>
    <row r="17" spans="1:35" x14ac:dyDescent="0.3">
      <c r="A17" s="24">
        <v>11</v>
      </c>
      <c r="B17" s="7" t="s">
        <v>105</v>
      </c>
      <c r="C17" s="8" t="s">
        <v>98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5.8110999999999997</v>
      </c>
      <c r="Z17" s="6">
        <v>8.9922000000000004</v>
      </c>
      <c r="AA17" s="6"/>
      <c r="AB17" s="6"/>
      <c r="AC17" s="6"/>
      <c r="AD17" s="6"/>
      <c r="AE17" s="6"/>
      <c r="AF17" s="6"/>
      <c r="AG17" s="6"/>
      <c r="AH17" s="6"/>
      <c r="AI17" s="2">
        <f t="shared" si="0"/>
        <v>14.8033</v>
      </c>
    </row>
    <row r="18" spans="1:35" x14ac:dyDescent="0.3">
      <c r="A18" s="24">
        <v>12</v>
      </c>
      <c r="B18" s="7" t="s">
        <v>106</v>
      </c>
      <c r="C18" s="8" t="s">
        <v>98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ht="26.4" x14ac:dyDescent="0.3">
      <c r="A19" s="24">
        <v>13</v>
      </c>
      <c r="B19" s="7" t="s">
        <v>106</v>
      </c>
      <c r="C19" s="5" t="s">
        <v>107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9</v>
      </c>
      <c r="AD19" s="6">
        <v>4</v>
      </c>
      <c r="AE19" s="6"/>
      <c r="AF19" s="6"/>
      <c r="AG19" s="6"/>
      <c r="AH19" s="6"/>
      <c r="AI19" s="2">
        <f t="shared" si="0"/>
        <v>13</v>
      </c>
    </row>
    <row r="20" spans="1:35" x14ac:dyDescent="0.3">
      <c r="A20" s="24">
        <v>14</v>
      </c>
      <c r="B20" s="8" t="s">
        <v>129</v>
      </c>
      <c r="C20" s="7" t="s">
        <v>37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>
        <v>3</v>
      </c>
      <c r="AE20" s="6">
        <v>2.7893999999999997</v>
      </c>
      <c r="AF20" s="6">
        <v>2</v>
      </c>
      <c r="AG20" s="6"/>
      <c r="AH20" s="6"/>
      <c r="AI20" s="2">
        <f t="shared" si="0"/>
        <v>7.7893999999999997</v>
      </c>
    </row>
    <row r="21" spans="1:35" x14ac:dyDescent="0.3">
      <c r="A21" s="24">
        <v>15</v>
      </c>
      <c r="B21" s="8" t="s">
        <v>129</v>
      </c>
      <c r="C21" s="8" t="s">
        <v>108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>
        <v>2</v>
      </c>
      <c r="AE21" s="6"/>
      <c r="AF21" s="6"/>
      <c r="AG21" s="6"/>
      <c r="AH21" s="6"/>
      <c r="AI21" s="2">
        <f t="shared" si="0"/>
        <v>2</v>
      </c>
    </row>
    <row r="22" spans="1:35" x14ac:dyDescent="0.3">
      <c r="A22" s="24">
        <v>16</v>
      </c>
      <c r="B22" s="8" t="s">
        <v>130</v>
      </c>
      <c r="C22" s="7" t="s">
        <v>37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>
        <v>3.6255999999999999</v>
      </c>
      <c r="AF22" s="6"/>
      <c r="AG22" s="6"/>
      <c r="AH22" s="6"/>
      <c r="AI22" s="2">
        <f t="shared" si="0"/>
        <v>3.6255999999999999</v>
      </c>
    </row>
    <row r="23" spans="1:35" x14ac:dyDescent="0.3">
      <c r="A23" s="24">
        <v>17</v>
      </c>
      <c r="B23" s="7" t="s">
        <v>109</v>
      </c>
      <c r="C23" s="7" t="s">
        <v>110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>
        <v>3</v>
      </c>
      <c r="AF23" s="6"/>
      <c r="AG23" s="6"/>
      <c r="AH23" s="6"/>
      <c r="AI23" s="2">
        <f t="shared" si="0"/>
        <v>3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9.4773999999999994</v>
      </c>
      <c r="F107" s="11">
        <f t="shared" si="1"/>
        <v>0</v>
      </c>
      <c r="G107" s="3">
        <f t="shared" si="1"/>
        <v>0</v>
      </c>
      <c r="H107" s="3">
        <f t="shared" si="1"/>
        <v>9.1036000000000001</v>
      </c>
      <c r="I107" s="3">
        <f t="shared" si="1"/>
        <v>9.0953999999999979</v>
      </c>
      <c r="J107" s="3">
        <f t="shared" si="1"/>
        <v>9.0859999999999985</v>
      </c>
      <c r="K107" s="3">
        <f t="shared" si="1"/>
        <v>9.5734000000000066</v>
      </c>
      <c r="L107" s="3">
        <f t="shared" si="1"/>
        <v>9.176499999999999</v>
      </c>
      <c r="M107" s="3">
        <f t="shared" si="1"/>
        <v>0</v>
      </c>
      <c r="N107" s="3">
        <f t="shared" si="1"/>
        <v>0</v>
      </c>
      <c r="O107" s="3">
        <f t="shared" si="1"/>
        <v>9.2312000000000012</v>
      </c>
      <c r="P107" s="3">
        <f t="shared" si="1"/>
        <v>6.4616999999999987</v>
      </c>
      <c r="Q107" s="3">
        <f t="shared" si="1"/>
        <v>9.2949999999999982</v>
      </c>
      <c r="R107" s="3">
        <f t="shared" si="1"/>
        <v>9.6278000000000006</v>
      </c>
      <c r="S107" s="3">
        <f t="shared" si="1"/>
        <v>8.764999999999997</v>
      </c>
      <c r="T107" s="3">
        <f t="shared" si="1"/>
        <v>0</v>
      </c>
      <c r="U107" s="3">
        <f t="shared" si="1"/>
        <v>0</v>
      </c>
      <c r="V107" s="3">
        <f t="shared" si="1"/>
        <v>8.8612000000000002</v>
      </c>
      <c r="W107" s="3">
        <f t="shared" si="1"/>
        <v>9.2760999999999996</v>
      </c>
      <c r="X107" s="3">
        <f t="shared" si="1"/>
        <v>9.285300000000003</v>
      </c>
      <c r="Y107" s="3">
        <f t="shared" si="1"/>
        <v>9.0299999999999976</v>
      </c>
      <c r="Z107" s="3">
        <f t="shared" si="1"/>
        <v>8.9922000000000004</v>
      </c>
      <c r="AA107" s="3">
        <f t="shared" si="1"/>
        <v>0</v>
      </c>
      <c r="AB107" s="3">
        <f t="shared" si="1"/>
        <v>0</v>
      </c>
      <c r="AC107" s="3">
        <f t="shared" si="1"/>
        <v>9</v>
      </c>
      <c r="AD107" s="3">
        <f t="shared" si="1"/>
        <v>9</v>
      </c>
      <c r="AE107" s="3">
        <f t="shared" si="1"/>
        <v>9.4149999999999991</v>
      </c>
      <c r="AF107" s="3">
        <f t="shared" si="1"/>
        <v>9.3000000000000007</v>
      </c>
      <c r="AG107" s="3">
        <f t="shared" si="1"/>
        <v>9.5180999999999898</v>
      </c>
      <c r="AH107" s="3">
        <f t="shared" si="1"/>
        <v>0</v>
      </c>
      <c r="AI107" s="1">
        <f>SUM(D107:AH107)</f>
        <v>190.57089999999999</v>
      </c>
    </row>
  </sheetData>
  <sheetProtection algorithmName="SHA-512" hashValue="28EL6EePtBeYO8OPxz0EkhIeP+kySoK1iolFvKM6UVO4+C2OOVxWg53C9QKTrOWlGtExJCEqvP0yZEjvBisXFQ==" saltValue="u9H00W4pcuGFlImQ+9EEOw==" spinCount="100000" sheet="1" objects="1" scenarios="1" formatCells="0" selectLockedCells="1"/>
  <conditionalFormatting sqref="D7:AH106">
    <cfRule type="cellIs" dxfId="15" priority="1" operator="greaterThan">
      <formula>",,"</formula>
    </cfRule>
    <cfRule type="cellIs" dxfId="1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7B1D-08DE-4578-B81D-2DD5C5D833B3}">
  <dimension ref="A1:AI107"/>
  <sheetViews>
    <sheetView topLeftCell="A19" zoomScaleNormal="100" workbookViewId="0">
      <pane xSplit="3" topLeftCell="Z1" activePane="topRight" state="frozen"/>
      <selection pane="topRight" activeCell="B34" sqref="B34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6</v>
      </c>
      <c r="C7" s="13" t="s">
        <v>53</v>
      </c>
      <c r="D7" s="12"/>
      <c r="E7" s="4">
        <v>1.45</v>
      </c>
      <c r="F7" s="4">
        <v>1.6</v>
      </c>
      <c r="G7" s="4">
        <v>5</v>
      </c>
      <c r="H7" s="4">
        <v>7.6</v>
      </c>
      <c r="I7" s="4"/>
      <c r="J7" s="4"/>
      <c r="K7" s="4"/>
      <c r="L7" s="4"/>
      <c r="M7" s="4"/>
      <c r="N7" s="4">
        <v>9.1999999999999993</v>
      </c>
      <c r="O7" s="4">
        <v>3.8</v>
      </c>
      <c r="P7" s="4">
        <v>3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12">
        <v>1.6</v>
      </c>
      <c r="AD7" s="4">
        <v>2</v>
      </c>
      <c r="AE7" s="4"/>
      <c r="AF7" s="4"/>
      <c r="AG7" s="4"/>
      <c r="AH7" s="4"/>
      <c r="AI7" s="2">
        <f t="shared" ref="AI7:AI106" si="0">SUM(D7:AH7)</f>
        <v>35.25</v>
      </c>
    </row>
    <row r="8" spans="1:35" x14ac:dyDescent="0.3">
      <c r="A8" s="24">
        <v>2</v>
      </c>
      <c r="B8" s="7" t="s">
        <v>111</v>
      </c>
      <c r="C8" s="8" t="s">
        <v>112</v>
      </c>
      <c r="D8" s="6"/>
      <c r="E8" s="6">
        <v>7.7233000000000001</v>
      </c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7.7233000000000001</v>
      </c>
    </row>
    <row r="9" spans="1:35" x14ac:dyDescent="0.3">
      <c r="A9" s="24">
        <v>3</v>
      </c>
      <c r="B9" s="8" t="s">
        <v>109</v>
      </c>
      <c r="C9" s="8" t="s">
        <v>28</v>
      </c>
      <c r="D9" s="6"/>
      <c r="E9" s="6"/>
      <c r="F9" s="6">
        <v>7.4131</v>
      </c>
      <c r="G9" s="6">
        <v>4.5046999999999997</v>
      </c>
      <c r="H9" s="6"/>
      <c r="I9" s="6"/>
      <c r="J9" s="6"/>
      <c r="K9" s="6"/>
      <c r="L9" s="6"/>
      <c r="M9" s="6"/>
      <c r="N9" s="6"/>
      <c r="O9" s="6">
        <v>1.6129999999999995</v>
      </c>
      <c r="P9" s="6">
        <v>4.4316999999999993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17.962499999999999</v>
      </c>
    </row>
    <row r="10" spans="1:35" x14ac:dyDescent="0.3">
      <c r="A10" s="24">
        <v>4</v>
      </c>
      <c r="B10" s="7" t="s">
        <v>103</v>
      </c>
      <c r="C10" s="8" t="s">
        <v>28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v>1.8</v>
      </c>
      <c r="T10" s="6">
        <v>2</v>
      </c>
      <c r="U10" s="6">
        <v>2</v>
      </c>
      <c r="V10" s="6">
        <v>0.2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6</v>
      </c>
    </row>
    <row r="11" spans="1:35" x14ac:dyDescent="0.3">
      <c r="A11" s="24">
        <v>5</v>
      </c>
      <c r="B11" s="7" t="s">
        <v>113</v>
      </c>
      <c r="C11" s="8" t="s">
        <v>114</v>
      </c>
      <c r="D11" s="6"/>
      <c r="E11" s="6"/>
      <c r="F11" s="6"/>
      <c r="G11" s="6"/>
      <c r="H11" s="6">
        <v>1.8669</v>
      </c>
      <c r="I11" s="6">
        <v>4.3037000000000001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6.1706000000000003</v>
      </c>
    </row>
    <row r="12" spans="1:35" x14ac:dyDescent="0.3">
      <c r="A12" s="24">
        <v>6</v>
      </c>
      <c r="B12" s="8" t="s">
        <v>129</v>
      </c>
      <c r="C12" s="8" t="s">
        <v>115</v>
      </c>
      <c r="D12" s="6"/>
      <c r="E12" s="6"/>
      <c r="F12" s="6"/>
      <c r="G12" s="6"/>
      <c r="H12" s="6"/>
      <c r="I12" s="6"/>
      <c r="J12" s="6"/>
      <c r="K12" s="6"/>
      <c r="L12" s="6">
        <v>2.21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2.21</v>
      </c>
    </row>
    <row r="13" spans="1:35" x14ac:dyDescent="0.3">
      <c r="A13" s="24">
        <v>7</v>
      </c>
      <c r="B13" s="7" t="s">
        <v>116</v>
      </c>
      <c r="C13" s="8" t="s">
        <v>28</v>
      </c>
      <c r="D13" s="6"/>
      <c r="E13" s="6"/>
      <c r="F13" s="6"/>
      <c r="G13" s="6"/>
      <c r="H13" s="6"/>
      <c r="I13" s="6"/>
      <c r="J13" s="6"/>
      <c r="K13" s="6"/>
      <c r="L13" s="6">
        <v>6.7728000000000002</v>
      </c>
      <c r="M13" s="6">
        <v>1.6186000000000007</v>
      </c>
      <c r="N13" s="6"/>
      <c r="O13" s="6"/>
      <c r="P13" s="6"/>
      <c r="Q13" s="6"/>
      <c r="R13" s="6"/>
      <c r="S13" s="6"/>
      <c r="T13" s="6">
        <v>1.3024999999999984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9.6938999999999993</v>
      </c>
    </row>
    <row r="14" spans="1:35" x14ac:dyDescent="0.3">
      <c r="A14" s="24">
        <v>8</v>
      </c>
      <c r="B14" s="8" t="s">
        <v>131</v>
      </c>
      <c r="C14" s="8" t="s">
        <v>95</v>
      </c>
      <c r="D14" s="6"/>
      <c r="E14" s="6"/>
      <c r="F14" s="6"/>
      <c r="G14" s="40"/>
      <c r="H14" s="6"/>
      <c r="I14" s="6"/>
      <c r="J14" s="6"/>
      <c r="K14" s="6"/>
      <c r="L14" s="6"/>
      <c r="M14" s="6">
        <v>4.8</v>
      </c>
      <c r="N14" s="6"/>
      <c r="O14" s="6"/>
      <c r="P14" s="6"/>
      <c r="Q14" s="6"/>
      <c r="R14" s="6"/>
      <c r="S14" s="6"/>
      <c r="T14" s="6"/>
      <c r="U14" s="6">
        <v>0.65890000000000004</v>
      </c>
      <c r="V14" s="6">
        <v>0.75890000000000057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6.2178000000000004</v>
      </c>
    </row>
    <row r="15" spans="1:35" x14ac:dyDescent="0.3">
      <c r="A15" s="24">
        <v>9</v>
      </c>
      <c r="B15" s="8" t="s">
        <v>130</v>
      </c>
      <c r="C15" s="8" t="s">
        <v>95</v>
      </c>
      <c r="D15" s="6"/>
      <c r="E15" s="6"/>
      <c r="F15" s="6"/>
      <c r="G15" s="6"/>
      <c r="H15" s="6"/>
      <c r="I15" s="6"/>
      <c r="J15" s="6"/>
      <c r="K15" s="6"/>
      <c r="L15" s="6"/>
      <c r="M15" s="6">
        <v>3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3</v>
      </c>
    </row>
    <row r="16" spans="1:35" x14ac:dyDescent="0.3">
      <c r="A16" s="24">
        <v>10</v>
      </c>
      <c r="B16" s="7" t="s">
        <v>94</v>
      </c>
      <c r="C16" s="7" t="s">
        <v>95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4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4</v>
      </c>
    </row>
    <row r="17" spans="1:35" x14ac:dyDescent="0.3">
      <c r="A17" s="24">
        <v>11</v>
      </c>
      <c r="B17" s="8" t="s">
        <v>132</v>
      </c>
      <c r="C17" s="8" t="s">
        <v>117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>
        <v>1.7756000000000001</v>
      </c>
      <c r="Q17" s="6"/>
      <c r="R17" s="6"/>
      <c r="S17" s="6">
        <v>2.1688000000000001</v>
      </c>
      <c r="T17" s="6">
        <v>0.13780000000000037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4.0822000000000003</v>
      </c>
    </row>
    <row r="18" spans="1:35" x14ac:dyDescent="0.3">
      <c r="A18" s="24">
        <v>12</v>
      </c>
      <c r="B18" s="7" t="s">
        <v>118</v>
      </c>
      <c r="C18" s="8" t="s">
        <v>119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1.7239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1.7239</v>
      </c>
    </row>
    <row r="19" spans="1:35" x14ac:dyDescent="0.3">
      <c r="A19" s="24">
        <v>13</v>
      </c>
      <c r="B19" s="7" t="s">
        <v>120</v>
      </c>
      <c r="C19" s="8" t="s">
        <v>112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>
        <v>3.5783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3.5783</v>
      </c>
    </row>
    <row r="20" spans="1:35" x14ac:dyDescent="0.3">
      <c r="A20" s="24">
        <v>14</v>
      </c>
      <c r="B20" s="8" t="s">
        <v>133</v>
      </c>
      <c r="C20" s="7" t="s">
        <v>121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>
        <v>5.7042000000000002</v>
      </c>
      <c r="U20" s="6">
        <v>4.8926999999999996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10.5969</v>
      </c>
    </row>
    <row r="21" spans="1:35" x14ac:dyDescent="0.3">
      <c r="A21" s="24">
        <v>15</v>
      </c>
      <c r="B21" s="7" t="s">
        <v>106</v>
      </c>
      <c r="C21" s="8" t="s">
        <v>114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1.7778</v>
      </c>
      <c r="V21" s="6">
        <v>3.6540999999999997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5.4318999999999997</v>
      </c>
    </row>
    <row r="22" spans="1:35" x14ac:dyDescent="0.3">
      <c r="A22" s="24">
        <v>16</v>
      </c>
      <c r="B22" s="7" t="s">
        <v>56</v>
      </c>
      <c r="C22" s="7" t="s">
        <v>122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1.0767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1.0767</v>
      </c>
    </row>
    <row r="23" spans="1:35" x14ac:dyDescent="0.3">
      <c r="A23" s="24">
        <v>17</v>
      </c>
      <c r="B23" s="8" t="s">
        <v>124</v>
      </c>
      <c r="C23" s="7" t="s">
        <v>114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3.4003000000000001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3.4003000000000001</v>
      </c>
    </row>
    <row r="24" spans="1:35" x14ac:dyDescent="0.3">
      <c r="A24" s="24">
        <v>18</v>
      </c>
      <c r="B24" s="8" t="s">
        <v>133</v>
      </c>
      <c r="C24" s="8" t="s">
        <v>121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>
        <v>3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3</v>
      </c>
    </row>
    <row r="25" spans="1:35" x14ac:dyDescent="0.3">
      <c r="A25" s="24">
        <v>19</v>
      </c>
      <c r="B25" s="7" t="s">
        <v>125</v>
      </c>
      <c r="C25" s="5" t="s">
        <v>114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3</v>
      </c>
      <c r="X25" s="6"/>
      <c r="Y25" s="6"/>
      <c r="Z25" s="6">
        <v>5.5399999999999991</v>
      </c>
      <c r="AA25" s="6"/>
      <c r="AB25" s="6"/>
      <c r="AC25" s="6"/>
      <c r="AD25" s="6"/>
      <c r="AE25" s="6"/>
      <c r="AF25" s="6"/>
      <c r="AG25" s="6"/>
      <c r="AH25" s="6"/>
      <c r="AI25" s="2">
        <f t="shared" si="0"/>
        <v>8.5399999999999991</v>
      </c>
    </row>
    <row r="26" spans="1:35" x14ac:dyDescent="0.3">
      <c r="A26" s="24">
        <v>20</v>
      </c>
      <c r="B26" s="8" t="s">
        <v>124</v>
      </c>
      <c r="C26" s="8" t="s">
        <v>126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>
        <v>1.8081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1.8081</v>
      </c>
    </row>
    <row r="27" spans="1:35" x14ac:dyDescent="0.3">
      <c r="A27" s="24">
        <v>21</v>
      </c>
      <c r="B27" s="8" t="s">
        <v>132</v>
      </c>
      <c r="C27" s="8" t="s">
        <v>127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>
        <v>1.36</v>
      </c>
      <c r="X27" s="6"/>
      <c r="Y27" s="6"/>
      <c r="Z27" s="6">
        <v>0.35309999999999997</v>
      </c>
      <c r="AA27" s="6"/>
      <c r="AB27" s="6"/>
      <c r="AC27" s="6"/>
      <c r="AD27" s="6"/>
      <c r="AE27" s="6"/>
      <c r="AF27" s="6"/>
      <c r="AG27" s="6"/>
      <c r="AH27" s="6"/>
      <c r="AI27" s="2">
        <f t="shared" si="0"/>
        <v>1.7131000000000001</v>
      </c>
    </row>
    <row r="28" spans="1:35" x14ac:dyDescent="0.3">
      <c r="A28" s="24">
        <v>22</v>
      </c>
      <c r="B28" s="8" t="s">
        <v>129</v>
      </c>
      <c r="C28" s="8" t="s">
        <v>115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>
        <v>3.3567</v>
      </c>
      <c r="AA28" s="6"/>
      <c r="AB28" s="6"/>
      <c r="AC28" s="6"/>
      <c r="AD28" s="6"/>
      <c r="AE28" s="6"/>
      <c r="AF28" s="6"/>
      <c r="AG28" s="6"/>
      <c r="AH28" s="6"/>
      <c r="AI28" s="2">
        <f t="shared" si="0"/>
        <v>3.3567</v>
      </c>
    </row>
    <row r="29" spans="1:35" x14ac:dyDescent="0.3">
      <c r="A29" s="24">
        <v>23</v>
      </c>
      <c r="B29" s="8" t="s">
        <v>134</v>
      </c>
      <c r="C29" s="8" t="s">
        <v>128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>
        <v>2.0438999999999998</v>
      </c>
      <c r="AA29" s="6"/>
      <c r="AB29" s="6">
        <v>6.942800000000001</v>
      </c>
      <c r="AC29" s="6"/>
      <c r="AD29" s="6">
        <v>1.7518999999999991</v>
      </c>
      <c r="AE29" s="6"/>
      <c r="AF29" s="6"/>
      <c r="AG29" s="6"/>
      <c r="AH29" s="6"/>
      <c r="AI29" s="2">
        <f t="shared" si="0"/>
        <v>10.7386</v>
      </c>
    </row>
    <row r="30" spans="1:35" x14ac:dyDescent="0.3">
      <c r="A30" s="24">
        <v>24</v>
      </c>
      <c r="B30" s="8" t="s">
        <v>129</v>
      </c>
      <c r="C30" s="5" t="s">
        <v>115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2.4</v>
      </c>
      <c r="AC30" s="6"/>
      <c r="AD30" s="6"/>
      <c r="AE30" s="6"/>
      <c r="AF30" s="6"/>
      <c r="AG30" s="6"/>
      <c r="AH30" s="6"/>
      <c r="AI30" s="2">
        <f t="shared" si="0"/>
        <v>2.4</v>
      </c>
    </row>
    <row r="31" spans="1:35" x14ac:dyDescent="0.3">
      <c r="A31" s="24">
        <v>25</v>
      </c>
      <c r="B31" s="8" t="s">
        <v>132</v>
      </c>
      <c r="C31" s="8" t="s">
        <v>127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>
        <v>7.9607999999999999</v>
      </c>
      <c r="AD31" s="6">
        <v>5.5180999999999996</v>
      </c>
      <c r="AE31" s="6"/>
      <c r="AF31" s="6"/>
      <c r="AG31" s="6"/>
      <c r="AH31" s="6"/>
      <c r="AI31" s="2">
        <f t="shared" si="0"/>
        <v>13.478899999999999</v>
      </c>
    </row>
    <row r="32" spans="1:35" x14ac:dyDescent="0.3">
      <c r="A32" s="24">
        <v>26</v>
      </c>
      <c r="B32" s="8" t="s">
        <v>130</v>
      </c>
      <c r="C32" s="7" t="s">
        <v>95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v>4</v>
      </c>
      <c r="AH32" s="6"/>
      <c r="AI32" s="2">
        <f t="shared" si="0"/>
        <v>4</v>
      </c>
    </row>
    <row r="33" spans="1:35" x14ac:dyDescent="0.3">
      <c r="A33" s="24">
        <v>27</v>
      </c>
      <c r="B33" s="7" t="s">
        <v>135</v>
      </c>
      <c r="C33" s="7" t="s">
        <v>126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v>2.4256000000000002</v>
      </c>
      <c r="AH33" s="6"/>
      <c r="AI33" s="2">
        <f t="shared" si="0"/>
        <v>2.4256000000000002</v>
      </c>
    </row>
    <row r="34" spans="1:35" x14ac:dyDescent="0.3">
      <c r="A34" s="24">
        <v>28</v>
      </c>
      <c r="B34" s="8" t="s">
        <v>134</v>
      </c>
      <c r="C34" s="7" t="s">
        <v>128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3</v>
      </c>
      <c r="AH34" s="6"/>
      <c r="AI34" s="2">
        <f t="shared" si="0"/>
        <v>3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9.1732999999999993</v>
      </c>
      <c r="F107" s="11">
        <f t="shared" si="1"/>
        <v>9.0130999999999997</v>
      </c>
      <c r="G107" s="3">
        <f t="shared" si="1"/>
        <v>9.5046999999999997</v>
      </c>
      <c r="H107" s="3">
        <f t="shared" si="1"/>
        <v>9.466899999999999</v>
      </c>
      <c r="I107" s="3">
        <f t="shared" si="1"/>
        <v>4.3037000000000001</v>
      </c>
      <c r="J107" s="3">
        <f t="shared" si="1"/>
        <v>0</v>
      </c>
      <c r="K107" s="3">
        <f t="shared" si="1"/>
        <v>0</v>
      </c>
      <c r="L107" s="3">
        <f t="shared" si="1"/>
        <v>8.982800000000001</v>
      </c>
      <c r="M107" s="3">
        <f t="shared" si="1"/>
        <v>9.4186000000000014</v>
      </c>
      <c r="N107" s="3">
        <f t="shared" si="1"/>
        <v>9.1999999999999993</v>
      </c>
      <c r="O107" s="3">
        <f t="shared" si="1"/>
        <v>9.4130000000000003</v>
      </c>
      <c r="P107" s="3">
        <f t="shared" si="1"/>
        <v>9.2073</v>
      </c>
      <c r="Q107" s="3">
        <f t="shared" si="1"/>
        <v>0</v>
      </c>
      <c r="R107" s="3">
        <f t="shared" si="1"/>
        <v>0</v>
      </c>
      <c r="S107" s="3">
        <f t="shared" si="1"/>
        <v>9.2710000000000008</v>
      </c>
      <c r="T107" s="3">
        <f t="shared" si="1"/>
        <v>9.144499999999999</v>
      </c>
      <c r="U107" s="3">
        <f t="shared" si="1"/>
        <v>9.3293999999999997</v>
      </c>
      <c r="V107" s="3">
        <f t="shared" si="1"/>
        <v>9.09</v>
      </c>
      <c r="W107" s="3">
        <f t="shared" si="1"/>
        <v>9.168099999999999</v>
      </c>
      <c r="X107" s="3">
        <f t="shared" si="1"/>
        <v>0</v>
      </c>
      <c r="Y107" s="3">
        <f t="shared" si="1"/>
        <v>0</v>
      </c>
      <c r="Z107" s="3">
        <f t="shared" si="1"/>
        <v>11.293699999999998</v>
      </c>
      <c r="AA107" s="3">
        <f t="shared" si="1"/>
        <v>0</v>
      </c>
      <c r="AB107" s="3">
        <f t="shared" si="1"/>
        <v>9.3428000000000004</v>
      </c>
      <c r="AC107" s="3">
        <f t="shared" si="1"/>
        <v>9.5608000000000004</v>
      </c>
      <c r="AD107" s="3">
        <f t="shared" si="1"/>
        <v>9.27</v>
      </c>
      <c r="AE107" s="3">
        <f t="shared" si="1"/>
        <v>0</v>
      </c>
      <c r="AF107" s="3">
        <f t="shared" si="1"/>
        <v>0</v>
      </c>
      <c r="AG107" s="3">
        <f t="shared" si="1"/>
        <v>9.4255999999999993</v>
      </c>
      <c r="AH107" s="3">
        <f t="shared" si="1"/>
        <v>0</v>
      </c>
      <c r="AI107" s="1">
        <f>SUM(D107:AH107)</f>
        <v>182.57930000000005</v>
      </c>
    </row>
  </sheetData>
  <sheetProtection algorithmName="SHA-512" hashValue="nwplfMY5mbUi7pLqtzh9MPLMw0LTKCwmbyPe4I9pBMWD22WXAXEyQbSmUxWtMYH6MHMLynnhJEQ3PtG+A9Etmg==" saltValue="ZBRsORWw7QLPVrB7NAZqsw==" spinCount="100000" sheet="1" objects="1" scenarios="1" formatCells="0" selectLockedCells="1"/>
  <conditionalFormatting sqref="D7:AH106">
    <cfRule type="cellIs" dxfId="13" priority="1" operator="greaterThan">
      <formula>",,"</formula>
    </cfRule>
    <cfRule type="cellIs" dxfId="1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187E-7335-4D06-ADA7-61E82436ADA9}">
  <dimension ref="A1:AI107"/>
  <sheetViews>
    <sheetView topLeftCell="A13" zoomScale="85" zoomScaleNormal="85" workbookViewId="0">
      <pane xSplit="3" topLeftCell="Z1" activePane="topRight" state="frozen"/>
      <selection pane="topRight" activeCell="AF28" sqref="AF28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103</v>
      </c>
      <c r="C7" s="13" t="s">
        <v>28</v>
      </c>
      <c r="D7" s="12">
        <v>9.1999999999999993</v>
      </c>
      <c r="E7" s="4">
        <v>3.170499999999997</v>
      </c>
      <c r="F7" s="4">
        <v>1.2397000000000062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13.610200000000003</v>
      </c>
    </row>
    <row r="8" spans="1:35" x14ac:dyDescent="0.3">
      <c r="A8" s="24">
        <v>2</v>
      </c>
      <c r="B8" s="8" t="s">
        <v>133</v>
      </c>
      <c r="C8" s="8" t="s">
        <v>121</v>
      </c>
      <c r="D8" s="6"/>
      <c r="E8" s="6">
        <v>6.2</v>
      </c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6.2</v>
      </c>
    </row>
    <row r="9" spans="1:35" x14ac:dyDescent="0.3">
      <c r="A9" s="24">
        <v>3</v>
      </c>
      <c r="B9" s="8" t="s">
        <v>116</v>
      </c>
      <c r="C9" s="8" t="s">
        <v>28</v>
      </c>
      <c r="D9" s="6"/>
      <c r="E9" s="6"/>
      <c r="F9" s="40">
        <v>2.3261000000000003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2.3261000000000003</v>
      </c>
    </row>
    <row r="10" spans="1:35" x14ac:dyDescent="0.3">
      <c r="A10" s="24">
        <v>4</v>
      </c>
      <c r="B10" s="8" t="s">
        <v>134</v>
      </c>
      <c r="C10" s="8" t="s">
        <v>136</v>
      </c>
      <c r="D10" s="6"/>
      <c r="E10" s="6"/>
      <c r="F10" s="6">
        <v>2.9539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2.9539</v>
      </c>
    </row>
    <row r="11" spans="1:35" x14ac:dyDescent="0.3">
      <c r="A11" s="24">
        <v>5</v>
      </c>
      <c r="B11" s="7" t="s">
        <v>137</v>
      </c>
      <c r="C11" s="8" t="s">
        <v>28</v>
      </c>
      <c r="D11" s="6"/>
      <c r="E11" s="6"/>
      <c r="F11" s="6">
        <v>2.6688999999999998</v>
      </c>
      <c r="G11" s="6">
        <v>9.5</v>
      </c>
      <c r="H11" s="6"/>
      <c r="I11" s="6"/>
      <c r="J11" s="6">
        <v>9.3000000000000007</v>
      </c>
      <c r="K11" s="40">
        <v>9.5</v>
      </c>
      <c r="L11" s="6">
        <v>1.691399999999998</v>
      </c>
      <c r="M11" s="6">
        <v>1.4769000000000005</v>
      </c>
      <c r="N11" s="6"/>
      <c r="O11" s="6"/>
      <c r="P11" s="6"/>
      <c r="Q11" s="6"/>
      <c r="R11" s="6">
        <v>6.0069999999999979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40.144199999999998</v>
      </c>
    </row>
    <row r="12" spans="1:35" x14ac:dyDescent="0.3">
      <c r="A12" s="24">
        <v>6</v>
      </c>
      <c r="B12" s="7" t="s">
        <v>94</v>
      </c>
      <c r="C12" s="8" t="s">
        <v>95</v>
      </c>
      <c r="D12" s="6"/>
      <c r="E12" s="6"/>
      <c r="F12" s="6"/>
      <c r="G12" s="6"/>
      <c r="H12" s="6"/>
      <c r="I12" s="6"/>
      <c r="J12" s="6"/>
      <c r="K12" s="6"/>
      <c r="L12" s="6">
        <v>5.6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5.6</v>
      </c>
    </row>
    <row r="13" spans="1:35" x14ac:dyDescent="0.3">
      <c r="A13" s="24">
        <v>7</v>
      </c>
      <c r="B13" s="7" t="s">
        <v>56</v>
      </c>
      <c r="C13" s="8" t="s">
        <v>138</v>
      </c>
      <c r="D13" s="6"/>
      <c r="E13" s="6"/>
      <c r="F13" s="6"/>
      <c r="G13" s="6"/>
      <c r="H13" s="6"/>
      <c r="I13" s="6"/>
      <c r="J13" s="6"/>
      <c r="K13" s="6"/>
      <c r="L13" s="6">
        <v>1.7178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1.7178</v>
      </c>
    </row>
    <row r="14" spans="1:35" x14ac:dyDescent="0.3">
      <c r="A14" s="24">
        <v>8</v>
      </c>
      <c r="B14" s="7" t="s">
        <v>139</v>
      </c>
      <c r="C14" s="8" t="s">
        <v>114</v>
      </c>
      <c r="D14" s="6"/>
      <c r="E14" s="6"/>
      <c r="F14" s="6"/>
      <c r="G14" s="40"/>
      <c r="H14" s="6"/>
      <c r="I14" s="6"/>
      <c r="J14" s="6"/>
      <c r="K14" s="6"/>
      <c r="L14" s="6"/>
      <c r="M14" s="6">
        <v>7.54</v>
      </c>
      <c r="N14" s="6">
        <v>5.1617000000000006</v>
      </c>
      <c r="O14" s="6"/>
      <c r="P14" s="6"/>
      <c r="Q14" s="6">
        <v>3.2141000000000002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15.915800000000001</v>
      </c>
    </row>
    <row r="15" spans="1:35" x14ac:dyDescent="0.3">
      <c r="A15" s="24">
        <v>9</v>
      </c>
      <c r="B15" s="8" t="s">
        <v>130</v>
      </c>
      <c r="C15" s="8" t="s">
        <v>95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>
        <v>3.8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3.8</v>
      </c>
    </row>
    <row r="16" spans="1:35" x14ac:dyDescent="0.3">
      <c r="A16" s="24">
        <v>10</v>
      </c>
      <c r="B16" s="8" t="s">
        <v>129</v>
      </c>
      <c r="C16" s="7" t="s">
        <v>115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42"/>
      <c r="O16" s="6"/>
      <c r="P16" s="6"/>
      <c r="Q16" s="6">
        <v>1.4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1.4</v>
      </c>
    </row>
    <row r="17" spans="1:35" x14ac:dyDescent="0.3">
      <c r="A17" s="24">
        <v>11</v>
      </c>
      <c r="B17" s="7" t="s">
        <v>140</v>
      </c>
      <c r="C17" s="8" t="s">
        <v>141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4.5999999999999996</v>
      </c>
      <c r="R17" s="6">
        <v>3.4330999999999996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8.0330999999999992</v>
      </c>
    </row>
    <row r="18" spans="1:35" x14ac:dyDescent="0.3">
      <c r="A18" s="24">
        <v>12</v>
      </c>
      <c r="B18" s="44" t="s">
        <v>113</v>
      </c>
      <c r="C18" s="8" t="s">
        <v>112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4.5774999999999997</v>
      </c>
      <c r="U18" s="6"/>
      <c r="V18" s="6"/>
      <c r="W18" s="6"/>
      <c r="X18" s="6"/>
      <c r="Y18" s="6">
        <v>2.0100000000000007</v>
      </c>
      <c r="Z18" s="6">
        <v>0.38059999999999938</v>
      </c>
      <c r="AA18" s="6"/>
      <c r="AB18" s="6"/>
      <c r="AC18" s="6"/>
      <c r="AD18" s="6"/>
      <c r="AE18" s="6"/>
      <c r="AF18" s="6"/>
      <c r="AG18" s="6"/>
      <c r="AH18" s="6"/>
      <c r="AI18" s="2">
        <f t="shared" si="0"/>
        <v>6.9680999999999997</v>
      </c>
    </row>
    <row r="19" spans="1:35" x14ac:dyDescent="0.3">
      <c r="A19" s="24">
        <v>13</v>
      </c>
      <c r="B19" s="7" t="s">
        <v>142</v>
      </c>
      <c r="C19" s="8" t="s">
        <v>114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4.2278000000000002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4.2278000000000002</v>
      </c>
    </row>
    <row r="20" spans="1:35" x14ac:dyDescent="0.3">
      <c r="A20" s="24">
        <v>14</v>
      </c>
      <c r="B20" s="7" t="s">
        <v>130</v>
      </c>
      <c r="C20" s="7" t="s">
        <v>121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>
        <v>9.4853000000000005</v>
      </c>
      <c r="V20" s="6"/>
      <c r="W20" s="6"/>
      <c r="X20" s="6">
        <v>0.22550000000000026</v>
      </c>
      <c r="Y20" s="6"/>
      <c r="Z20" s="6">
        <v>4.9000000000000004</v>
      </c>
      <c r="AA20" s="6"/>
      <c r="AB20" s="6"/>
      <c r="AC20" s="6"/>
      <c r="AD20" s="6"/>
      <c r="AE20" s="6"/>
      <c r="AF20" s="6"/>
      <c r="AG20" s="6"/>
      <c r="AH20" s="6"/>
      <c r="AI20" s="2">
        <f t="shared" si="0"/>
        <v>14.610800000000001</v>
      </c>
    </row>
    <row r="21" spans="1:35" x14ac:dyDescent="0.3">
      <c r="A21" s="24">
        <v>15</v>
      </c>
      <c r="B21" s="7" t="s">
        <v>143</v>
      </c>
      <c r="C21" s="8" t="s">
        <v>144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8.8000000000000007</v>
      </c>
      <c r="X21" s="6">
        <v>7.8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16.600000000000001</v>
      </c>
    </row>
    <row r="22" spans="1:35" x14ac:dyDescent="0.3">
      <c r="A22" s="24">
        <v>16</v>
      </c>
      <c r="B22" s="7" t="s">
        <v>145</v>
      </c>
      <c r="C22" s="7" t="s">
        <v>108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>
        <v>1.2614000000000001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1.2614000000000001</v>
      </c>
    </row>
    <row r="23" spans="1:35" x14ac:dyDescent="0.3">
      <c r="A23" s="24">
        <v>17</v>
      </c>
      <c r="B23" s="7" t="s">
        <v>146</v>
      </c>
      <c r="C23" s="7" t="s">
        <v>147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7.1082999999999998</v>
      </c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7.1082999999999998</v>
      </c>
    </row>
    <row r="24" spans="1:35" x14ac:dyDescent="0.3">
      <c r="A24" s="24">
        <v>18</v>
      </c>
      <c r="B24" s="7" t="s">
        <v>146</v>
      </c>
      <c r="C24" s="8" t="s">
        <v>148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>
        <v>2.9447000000000001</v>
      </c>
      <c r="AA24" s="6"/>
      <c r="AB24" s="6"/>
      <c r="AC24" s="6"/>
      <c r="AD24" s="6"/>
      <c r="AE24" s="6"/>
      <c r="AF24" s="6"/>
      <c r="AG24" s="6"/>
      <c r="AH24" s="6"/>
      <c r="AI24" s="2">
        <f t="shared" si="0"/>
        <v>2.9447000000000001</v>
      </c>
    </row>
    <row r="25" spans="1:35" x14ac:dyDescent="0.3">
      <c r="A25" s="24">
        <v>19</v>
      </c>
      <c r="B25" s="7" t="s">
        <v>149</v>
      </c>
      <c r="C25" s="5" t="s">
        <v>112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>
        <v>1.0622</v>
      </c>
      <c r="AA25" s="6"/>
      <c r="AB25" s="6"/>
      <c r="AC25" s="6"/>
      <c r="AD25" s="6"/>
      <c r="AE25" s="6"/>
      <c r="AF25" s="6"/>
      <c r="AG25" s="6"/>
      <c r="AH25" s="6"/>
      <c r="AI25" s="2">
        <f t="shared" si="0"/>
        <v>1.0622</v>
      </c>
    </row>
    <row r="26" spans="1:35" x14ac:dyDescent="0.3">
      <c r="A26" s="24">
        <v>20</v>
      </c>
      <c r="B26" s="7" t="s">
        <v>109</v>
      </c>
      <c r="C26" s="8" t="s">
        <v>28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9.4</v>
      </c>
      <c r="AB26" s="6">
        <v>9.4</v>
      </c>
      <c r="AC26" s="6"/>
      <c r="AD26" s="6"/>
      <c r="AE26" s="6">
        <v>9.1</v>
      </c>
      <c r="AF26" s="6">
        <v>9.4</v>
      </c>
      <c r="AG26" s="6">
        <v>9.1999999999999993</v>
      </c>
      <c r="AH26" s="6">
        <v>7.7957999999999998</v>
      </c>
      <c r="AI26" s="2">
        <f t="shared" si="0"/>
        <v>54.2958</v>
      </c>
    </row>
    <row r="27" spans="1:35" x14ac:dyDescent="0.3">
      <c r="A27" s="24">
        <v>21</v>
      </c>
      <c r="B27" s="7" t="s">
        <v>150</v>
      </c>
      <c r="C27" s="8" t="s">
        <v>151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1.4317</v>
      </c>
      <c r="AI27" s="2">
        <f t="shared" si="0"/>
        <v>1.4317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9.1999999999999993</v>
      </c>
      <c r="E107" s="11">
        <f t="shared" si="1"/>
        <v>9.3704999999999963</v>
      </c>
      <c r="F107" s="11">
        <f t="shared" si="1"/>
        <v>9.1886000000000063</v>
      </c>
      <c r="G107" s="3">
        <f t="shared" si="1"/>
        <v>9.5</v>
      </c>
      <c r="H107" s="3">
        <f t="shared" si="1"/>
        <v>0</v>
      </c>
      <c r="I107" s="3">
        <f t="shared" si="1"/>
        <v>0</v>
      </c>
      <c r="J107" s="3">
        <f t="shared" si="1"/>
        <v>9.3000000000000007</v>
      </c>
      <c r="K107" s="3">
        <f t="shared" si="1"/>
        <v>9.5</v>
      </c>
      <c r="L107" s="3">
        <f t="shared" si="1"/>
        <v>9.0091999999999981</v>
      </c>
      <c r="M107" s="3">
        <f t="shared" si="1"/>
        <v>9.0168999999999997</v>
      </c>
      <c r="N107" s="3">
        <f t="shared" si="1"/>
        <v>8.9617000000000004</v>
      </c>
      <c r="O107" s="3">
        <f t="shared" si="1"/>
        <v>0</v>
      </c>
      <c r="P107" s="3">
        <f t="shared" si="1"/>
        <v>0</v>
      </c>
      <c r="Q107" s="3">
        <f t="shared" si="1"/>
        <v>9.2141000000000002</v>
      </c>
      <c r="R107" s="3">
        <f t="shared" si="1"/>
        <v>9.4400999999999975</v>
      </c>
      <c r="S107" s="3">
        <f t="shared" si="1"/>
        <v>0</v>
      </c>
      <c r="T107" s="3">
        <f t="shared" si="1"/>
        <v>8.805299999999999</v>
      </c>
      <c r="U107" s="3">
        <f t="shared" si="1"/>
        <v>9.4853000000000005</v>
      </c>
      <c r="V107" s="3">
        <f t="shared" si="1"/>
        <v>0</v>
      </c>
      <c r="W107" s="3">
        <f t="shared" si="1"/>
        <v>8.8000000000000007</v>
      </c>
      <c r="X107" s="3">
        <f t="shared" si="1"/>
        <v>9.286900000000001</v>
      </c>
      <c r="Y107" s="3">
        <f t="shared" si="1"/>
        <v>9.1183000000000014</v>
      </c>
      <c r="Z107" s="3">
        <f t="shared" si="1"/>
        <v>9.2875000000000014</v>
      </c>
      <c r="AA107" s="3">
        <f t="shared" si="1"/>
        <v>9.4</v>
      </c>
      <c r="AB107" s="3">
        <f t="shared" si="1"/>
        <v>9.4</v>
      </c>
      <c r="AC107" s="3">
        <f t="shared" si="1"/>
        <v>0</v>
      </c>
      <c r="AD107" s="3">
        <f t="shared" si="1"/>
        <v>0</v>
      </c>
      <c r="AE107" s="3">
        <f t="shared" si="1"/>
        <v>9.1</v>
      </c>
      <c r="AF107" s="3">
        <f t="shared" si="1"/>
        <v>9.4</v>
      </c>
      <c r="AG107" s="3">
        <f t="shared" si="1"/>
        <v>9.1999999999999993</v>
      </c>
      <c r="AH107" s="3">
        <f t="shared" si="1"/>
        <v>9.2274999999999991</v>
      </c>
      <c r="AI107" s="1">
        <f>SUM(D107:AH107)</f>
        <v>212.21189999999999</v>
      </c>
    </row>
  </sheetData>
  <sheetProtection algorithmName="SHA-512" hashValue="XRfYzgbQIdYoOEtvT0o9lSZJ5pqFJCF6hJniSjJ52wipxxgbfY3pKs5A4XQqyN3JP+eKUg1Ku7XTqoETF2hAUA==" saltValue="TIl1gu+6FXF3QjxCMt+s8w==" spinCount="100000" sheet="1" objects="1" scenarios="1" formatCells="0" selectLockedCells="1"/>
  <conditionalFormatting sqref="D7:AH106">
    <cfRule type="cellIs" dxfId="11" priority="1" operator="greaterThan">
      <formula>",,"</formula>
    </cfRule>
    <cfRule type="cellIs" dxfId="1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F83C-8FD6-4CF3-941C-214364E9B7C0}">
  <dimension ref="A1:AI107"/>
  <sheetViews>
    <sheetView tabSelected="1" zoomScaleNormal="100" workbookViewId="0">
      <pane xSplit="3" topLeftCell="D1" activePane="topRight" state="frozen"/>
      <selection pane="topRight" activeCell="C11" sqref="C11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109</v>
      </c>
      <c r="C7" s="13" t="s">
        <v>28</v>
      </c>
      <c r="D7" s="12">
        <v>4.2089000000000141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4.2089000000000141</v>
      </c>
    </row>
    <row r="8" spans="1:35" x14ac:dyDescent="0.3">
      <c r="A8" s="24">
        <v>2</v>
      </c>
      <c r="B8" s="7" t="s">
        <v>154</v>
      </c>
      <c r="C8" s="8" t="s">
        <v>155</v>
      </c>
      <c r="D8" s="6">
        <v>4.8</v>
      </c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4.8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4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9.0089000000000148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9.0089000000000148</v>
      </c>
    </row>
  </sheetData>
  <sheetProtection algorithmName="SHA-512" hashValue="8FwUh0IlowMZUV35TlGo1eCsxPKp82KPZumBpO7y3DKcHMRFMT9oqnHSC1PgJi56hODSjY6Ltf9waIB8aK8TFA==" saltValue="8iv41kXFHZVJBW0JLdvphQ==" spinCount="100000" sheet="1" objects="1" scenarios="1" formatCells="0" selectLockedCells="1"/>
  <conditionalFormatting sqref="D7:AH106">
    <cfRule type="cellIs" dxfId="9" priority="1" operator="greaterThan">
      <formula>",,"</formula>
    </cfRule>
    <cfRule type="cellIs" dxfId="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28DA-7A1E-4A03-A99B-70F8DD7CCB4F}">
  <dimension ref="A1:AI107"/>
  <sheetViews>
    <sheetView zoomScaleNormal="100" workbookViewId="0">
      <pane xSplit="3" topLeftCell="E1" activePane="topRight" state="frozen"/>
      <selection pane="topRight" activeCell="E9" sqref="E9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152</v>
      </c>
      <c r="C7" s="13" t="s">
        <v>153</v>
      </c>
      <c r="D7" s="12"/>
      <c r="E7" s="4">
        <v>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1</v>
      </c>
    </row>
    <row r="8" spans="1:35" x14ac:dyDescent="0.3">
      <c r="A8" s="24">
        <v>2</v>
      </c>
      <c r="B8" s="8" t="s">
        <v>152</v>
      </c>
      <c r="C8" s="8"/>
      <c r="D8" s="6"/>
      <c r="E8" s="6">
        <v>2.5</v>
      </c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2.5</v>
      </c>
    </row>
    <row r="9" spans="1:35" x14ac:dyDescent="0.3">
      <c r="A9" s="24">
        <v>3</v>
      </c>
      <c r="B9" s="8" t="s">
        <v>152</v>
      </c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8" t="s">
        <v>152</v>
      </c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8" t="s">
        <v>152</v>
      </c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3.5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3.5</v>
      </c>
    </row>
  </sheetData>
  <sheetProtection algorithmName="SHA-512" hashValue="OIeCHGZOSRJxgLP7WTOOUuuH1iybFm7Oc3X5lXcI3U1ro+mfFp4NZwN/n1Vlc6vYyoHKPlE70vFDm9MeR2S5QQ==" saltValue="yXZEQV1YFzOfnw9pq4cQ+g==" spinCount="100000" sheet="1" objects="1" scenarios="1" formatCells="0" selectLockedCells="1"/>
  <conditionalFormatting sqref="D7:AH106">
    <cfRule type="cellIs" dxfId="7" priority="1" operator="greaterThan">
      <formula>",,"</formula>
    </cfRule>
    <cfRule type="cellIs" dxfId="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E36B-F229-456A-B19E-7D5536BF0A4D}">
  <dimension ref="A1:AI107"/>
  <sheetViews>
    <sheetView zoomScale="55" zoomScaleNormal="55" workbookViewId="0">
      <pane xSplit="3" topLeftCell="D1" activePane="topRight" state="frozen"/>
      <selection pane="topRight" activeCell="I33" sqref="I33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V3468Aa/XCiN+g8JH7yiMl3jC6vTV2uDGrzuDlgrNUl2RqZGb7f3hPLdUpyxE2U/GuFZN9Mg3MBAyUPgEvplUw==" saltValue="uM+RDLw1OXNiYFp+xZxBXg==" spinCount="100000" sheet="1" objects="1" scenarios="1" formatCells="0" selectLockedCells="1"/>
  <conditionalFormatting sqref="D7:AH106">
    <cfRule type="cellIs" dxfId="5" priority="1" operator="greaterThan">
      <formula>",,"</formula>
    </cfRule>
    <cfRule type="cellIs" dxfId="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9AD7-8DAC-47FC-B94B-2B60D9A9DA8E}">
  <dimension ref="A1:AI107"/>
  <sheetViews>
    <sheetView topLeftCell="A2" zoomScale="55" zoomScaleNormal="55" workbookViewId="0">
      <pane xSplit="3" topLeftCell="D1" activePane="topRight" state="frozen"/>
      <selection pane="topRight" activeCell="E12" sqref="E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4wJmCaWUC16lYMJiDCuZy+OI0iSJjoc7NG1cfZwgT5wCRkM1vQ9RBKCVUUhKr3JhdpnPbRPfgHK6DCD+D/bjVA==" saltValue="miK/vYr6u7Pwsomo76Tx/Q==" spinCount="100000" sheet="1" objects="1" scenarios="1" formatCells="0" selectLockedCells="1"/>
  <conditionalFormatting sqref="D7:AH106">
    <cfRule type="cellIs" dxfId="3" priority="1" operator="greaterThan">
      <formula>",,"</formula>
    </cfRule>
    <cfRule type="cellIs" dxfId="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A184-FCED-4D68-8D88-A92D439B74DC}">
  <dimension ref="A1:AI107"/>
  <sheetViews>
    <sheetView zoomScale="55" zoomScaleNormal="55" workbookViewId="0">
      <pane xSplit="3" topLeftCell="D1" activePane="topRight" state="frozen"/>
      <selection pane="topRight" activeCell="E7" sqref="E7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4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4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i2FnqROEwd9RFjwtenF09woQCrkRxaRPLs8cClubTVzBRZTh/R9CY8DavPL1Z3XEdjkHcTO/S5t2ZOHkn2pGxw==" saltValue="oN8+rpBvV7EB+ZNW0+nI8A==" spinCount="100000" sheet="1" objects="1" scenarios="1" formatCells="0" selectLockedCells="1"/>
  <conditionalFormatting sqref="D7:AH106">
    <cfRule type="cellIs" dxfId="1" priority="1" operator="greaterThan">
      <formula>",,"</formula>
    </cfRule>
    <cfRule type="cellIs" dxfId="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2025-08-01T21:14:07Z</dcterms:modified>
</cp:coreProperties>
</file>