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interestengenharia-my.sharepoint.com/personal/renan_soares_interestengenharia_onmicrosoft_com/Documents/Área de Trabalho/"/>
    </mc:Choice>
  </mc:AlternateContent>
  <xr:revisionPtr revIDLastSave="7" documentId="8_{B6366BE7-93F8-4FE8-8EBD-B3E485CB094B}" xr6:coauthVersionLast="47" xr6:coauthVersionMax="47" xr10:uidLastSave="{6F7EEF31-9480-4DDB-8AA9-18BE29AB8A8F}"/>
  <bookViews>
    <workbookView xWindow="20370" yWindow="-120" windowWidth="29040" windowHeight="15720" xr2:uid="{00000000-000D-0000-FFFF-FFFF00000000}"/>
  </bookViews>
  <sheets>
    <sheet name="Aval Soft Skills" sheetId="1" r:id="rId1"/>
    <sheet name="Aval Hard Skills" sheetId="7" r:id="rId2"/>
    <sheet name="PDI" sheetId="4" r:id="rId3"/>
    <sheet name="Follow-up" sheetId="5" r:id="rId4"/>
    <sheet name="Cargos" sheetId="2" state="hidden" r:id="rId5"/>
    <sheet name="Soft Skills" sheetId="6" state="hidden" r:id="rId6"/>
    <sheet name="Hard Skills" sheetId="8" state="hidden" r:id="rId7"/>
    <sheet name="Roteiro" sheetId="9" state="hidden" r:id="rId8"/>
  </sheets>
  <definedNames>
    <definedName name="Adm_Financeiro" localSheetId="6">'Hard Skills'!$F$3:$F$8</definedName>
    <definedName name="Adm_Financeiro" localSheetId="5">'Soft Skills'!$F$3:$F$8</definedName>
    <definedName name="Adm_Financeiro">Cargos!$E$2:$E$7</definedName>
    <definedName name="_xlnm.Print_Area" localSheetId="0">'Aval Soft Skills'!$B$1:$G$31</definedName>
    <definedName name="Civil" localSheetId="6">'Hard Skills'!$A$3:$A$11</definedName>
    <definedName name="Civil" localSheetId="5">'Soft Skills'!$A$3:$A$11</definedName>
    <definedName name="Civil">Cargos!$A$2:$A$10</definedName>
    <definedName name="Elétrica" localSheetId="6">'Hard Skills'!$B$3:$B$16</definedName>
    <definedName name="Elétrica" localSheetId="5">'Soft Skills'!$B$3:$B$15</definedName>
    <definedName name="Elétrica">Cargos!$B$2:$B$14</definedName>
    <definedName name="Eletromecânica" localSheetId="6">'Hard Skills'!$D$3:$D$15</definedName>
    <definedName name="Eletromecânica" localSheetId="5">'Soft Skills'!$D$3:$D$14</definedName>
    <definedName name="Eletromecânica">Cargos!$C$2:$C$13</definedName>
    <definedName name="Ger_Contratos">Cargos!$D$2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7" l="1"/>
  <c r="E30" i="7"/>
  <c r="F29" i="1"/>
  <c r="E29" i="1"/>
  <c r="C5" i="7" l="1"/>
  <c r="C28" i="7" s="1"/>
  <c r="C8" i="7"/>
  <c r="C7" i="7"/>
  <c r="C6" i="7"/>
  <c r="D21" i="7" s="1"/>
  <c r="C4" i="7"/>
  <c r="D29" i="7" l="1"/>
  <c r="C21" i="7"/>
  <c r="C22" i="7"/>
  <c r="C23" i="7"/>
  <c r="C26" i="7"/>
  <c r="C12" i="7"/>
  <c r="C29" i="7"/>
  <c r="C13" i="7"/>
  <c r="C14" i="7"/>
  <c r="C15" i="7"/>
  <c r="C16" i="7"/>
  <c r="C24" i="7"/>
  <c r="C17" i="7"/>
  <c r="C18" i="7"/>
  <c r="C25" i="7"/>
  <c r="C19" i="7"/>
  <c r="C27" i="7"/>
  <c r="C11" i="7"/>
  <c r="C20" i="7"/>
  <c r="D14" i="7"/>
  <c r="D22" i="7"/>
  <c r="D15" i="7"/>
  <c r="D23" i="7"/>
  <c r="D16" i="7"/>
  <c r="D24" i="7"/>
  <c r="D17" i="7"/>
  <c r="D25" i="7"/>
  <c r="D18" i="7"/>
  <c r="D26" i="7"/>
  <c r="D12" i="7"/>
  <c r="D19" i="7"/>
  <c r="D27" i="7"/>
  <c r="D11" i="7"/>
  <c r="D20" i="7"/>
  <c r="D28" i="7"/>
  <c r="D13" i="7"/>
  <c r="D30" i="7" l="1"/>
  <c r="D11" i="1"/>
  <c r="D12" i="1"/>
  <c r="D13" i="1"/>
  <c r="D14" i="1"/>
  <c r="D15" i="1"/>
  <c r="D16" i="1"/>
  <c r="D17" i="1"/>
  <c r="D18" i="1"/>
  <c r="D19" i="1"/>
  <c r="D20" i="1"/>
  <c r="D21" i="1"/>
  <c r="D22" i="1"/>
  <c r="D23" i="1"/>
  <c r="D24" i="1"/>
  <c r="D25" i="1"/>
  <c r="D26" i="1"/>
  <c r="D27" i="1"/>
  <c r="D28" i="1"/>
  <c r="D29" i="1" l="1"/>
  <c r="E52" i="4" s="1"/>
  <c r="C8" i="5"/>
  <c r="C7" i="5"/>
  <c r="C6" i="5"/>
  <c r="C5" i="5"/>
  <c r="C4" i="5"/>
  <c r="C8" i="4"/>
  <c r="C7" i="4"/>
  <c r="C6" i="4"/>
  <c r="C5" i="4"/>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Osvaldo Shoitiro Matubara</author>
  </authors>
  <commentList>
    <comment ref="B51" authorId="0" shapeId="0" xr:uid="{00000000-0006-0000-0600-000001000000}">
      <text>
        <r>
          <rPr>
            <b/>
            <sz val="11"/>
            <color indexed="81"/>
            <rFont val="Segoe UI"/>
            <family val="2"/>
          </rPr>
          <t>Osvaldo Shoitiro Matubara:</t>
        </r>
        <r>
          <rPr>
            <sz val="11"/>
            <color indexed="81"/>
            <rFont val="Segoe UI"/>
            <family val="2"/>
          </rPr>
          <t xml:space="preserve">
Confirmar c APF</t>
        </r>
      </text>
    </comment>
  </commentList>
</comments>
</file>

<file path=xl/sharedStrings.xml><?xml version="1.0" encoding="utf-8"?>
<sst xmlns="http://schemas.openxmlformats.org/spreadsheetml/2006/main" count="1185" uniqueCount="218">
  <si>
    <t xml:space="preserve">Nome: </t>
  </si>
  <si>
    <t>Área:</t>
  </si>
  <si>
    <t>Gestor:</t>
  </si>
  <si>
    <t xml:space="preserve">Participar de novos e desafiadores projetos na função atual; </t>
  </si>
  <si>
    <t xml:space="preserve">Reforçar as competências essenciais para a sua função atual; </t>
  </si>
  <si>
    <t xml:space="preserve">Compartilhar conhecimento e atuar como coach de outros profissionais; </t>
  </si>
  <si>
    <t xml:space="preserve">Buscar benchmarking, outras experiências "on-the-job"; </t>
  </si>
  <si>
    <t xml:space="preserve">Incluir oportunidades de job-rotation ou participação em outros projetos na área; </t>
  </si>
  <si>
    <t>Participar de treinamentos associados às competências que necessitam aprimoramento.</t>
  </si>
  <si>
    <t>Preparar competências para o próximo passo na carreira.</t>
  </si>
  <si>
    <t>Ações de desenvolvimento</t>
  </si>
  <si>
    <t>Cursos / Treinamentos</t>
  </si>
  <si>
    <t>Auto estudo / leitura</t>
  </si>
  <si>
    <t>Cadeia de ajuda / coaching / ações "on-the-job"</t>
  </si>
  <si>
    <t>Outros</t>
  </si>
  <si>
    <t>Assinatura do Gestor:</t>
  </si>
  <si>
    <t>Assinatura do Funcionário:</t>
  </si>
  <si>
    <t>2023 / 2024</t>
  </si>
  <si>
    <t>Cargo:</t>
  </si>
  <si>
    <t>Se o seu desempenho foi considerado dentro das expectativas, monte o seu PDI para:</t>
  </si>
  <si>
    <t>ASPECTOS AVALIADOS</t>
  </si>
  <si>
    <t>META</t>
  </si>
  <si>
    <t>AUTO - AVALIAÇÃO</t>
  </si>
  <si>
    <t>AVALIAÇÃO GESTOR</t>
  </si>
  <si>
    <t>CRITÉRIOS DE AVALIAÇÃO</t>
  </si>
  <si>
    <t>OBSERVAÇÕES</t>
  </si>
  <si>
    <t>Data da Avaliação :</t>
  </si>
  <si>
    <t>Civil</t>
  </si>
  <si>
    <t>Elétrica</t>
  </si>
  <si>
    <t>Eletromecânica</t>
  </si>
  <si>
    <t xml:space="preserve">Gerente Administrativo-Financeiro </t>
  </si>
  <si>
    <t xml:space="preserve">Analista de RH </t>
  </si>
  <si>
    <t xml:space="preserve">Assistente Administrativo-Financeiro </t>
  </si>
  <si>
    <t xml:space="preserve">Assistente de Controladoria </t>
  </si>
  <si>
    <t xml:space="preserve">Auxiliar Administrativo </t>
  </si>
  <si>
    <t xml:space="preserve">Auxiliar de Expedição </t>
  </si>
  <si>
    <t xml:space="preserve">Gerente de Contratos </t>
  </si>
  <si>
    <t>Cadista</t>
  </si>
  <si>
    <t>Auxiliar de Engenharia</t>
  </si>
  <si>
    <t>Técnico Eletromecânico IV</t>
  </si>
  <si>
    <t>Técnico Eletromecânico III</t>
  </si>
  <si>
    <t>Técnico Eletromecânico II</t>
  </si>
  <si>
    <t>Técnico Eletromecânico I</t>
  </si>
  <si>
    <t>Engenheiro Eletromecânico IV</t>
  </si>
  <si>
    <t>Engenheiro Eletromecânico III</t>
  </si>
  <si>
    <t>Engenheiro Eletromecânico II</t>
  </si>
  <si>
    <t>Líder Técnico – Área Eletromecânica</t>
  </si>
  <si>
    <t>Gerente de Área - Eletromecânica</t>
  </si>
  <si>
    <t>Estagiário Técnico Eletrotécnico ou Controle/Automação</t>
  </si>
  <si>
    <t>Estagiário Técnico em Edificações</t>
  </si>
  <si>
    <t>Estagiário Engenharia Civil II</t>
  </si>
  <si>
    <t>Estagiário Engenharia Civil I</t>
  </si>
  <si>
    <t>Engenheiro Civil IV</t>
  </si>
  <si>
    <t>Engenheiro Civil III</t>
  </si>
  <si>
    <t>Engenheiro Civil II</t>
  </si>
  <si>
    <t>Engenheiro Civil I</t>
  </si>
  <si>
    <t>Líder Técnico - Área Civil</t>
  </si>
  <si>
    <t xml:space="preserve">Gerente de Área Civil </t>
  </si>
  <si>
    <r>
      <t xml:space="preserve">Se o seu desempenho foi considerado </t>
    </r>
    <r>
      <rPr>
        <b/>
        <u/>
        <sz val="10"/>
        <color rgb="FF000099"/>
        <rFont val="Arial"/>
        <family val="2"/>
      </rPr>
      <t>acima</t>
    </r>
    <r>
      <rPr>
        <b/>
        <sz val="10"/>
        <color rgb="FF000099"/>
        <rFont val="Arial"/>
        <family val="2"/>
      </rPr>
      <t xml:space="preserve"> das expectativas, monte o seu PDI para: </t>
    </r>
  </si>
  <si>
    <t>Liderança</t>
  </si>
  <si>
    <t>Organização</t>
  </si>
  <si>
    <t>Raciocínio lógico e analítico</t>
  </si>
  <si>
    <t>Engenheiro Eletromecânico I</t>
  </si>
  <si>
    <t>Adm_Financeiro</t>
  </si>
  <si>
    <t>Ger_Contratos</t>
  </si>
  <si>
    <t>PDI</t>
  </si>
  <si>
    <t>Critérios de avaliação:
1- Nunca / Quase nunca. Traço não evidente.
2- Poucas Vezes. Traço a ser desenvolvido.
3- Com Frequência. Traço a consolidar no estilo.
4- Quase Sempre.Traço marcante do estilo.
5- Profissional referência no aspecto. Reconhecido no meio.</t>
  </si>
  <si>
    <t>PLANO DE DESENVOLVIMENTO INDIVIDUAL</t>
  </si>
  <si>
    <t>PONTOS A DESENVOLVER</t>
  </si>
  <si>
    <t>PONTOS FORTES</t>
  </si>
  <si>
    <t>FOLLOW-UP</t>
  </si>
  <si>
    <t>AÇÕES</t>
  </si>
  <si>
    <t>Trabalho de equipe</t>
  </si>
  <si>
    <t>Foco em Resultados</t>
  </si>
  <si>
    <t>Inovação e Criatividade</t>
  </si>
  <si>
    <t>Relacionamento Interpessoal</t>
  </si>
  <si>
    <t>Comunicação</t>
  </si>
  <si>
    <t>Administração de Conflitos</t>
  </si>
  <si>
    <t>Visão de Negócios</t>
  </si>
  <si>
    <r>
      <rPr>
        <b/>
        <sz val="10"/>
        <color indexed="18"/>
        <rFont val="Arial"/>
        <family val="2"/>
      </rPr>
      <t>Liderança:</t>
    </r>
    <r>
      <rPr>
        <sz val="10"/>
        <color indexed="18"/>
        <rFont val="Arial"/>
        <family val="2"/>
      </rPr>
      <t xml:space="preserve"> Habilidade de promover um ambiente de cooperação, motivador e produtivo. Promove meios para o desenvolvimento dos colaboradores e seu próprio. Demonstra competência e habilidade em comunicar as mudanças, metas e expectativas. É exemplo e motiva-se com desafios.Sabe delegar quando necessário, contudo sem perder o controle.</t>
    </r>
  </si>
  <si>
    <r>
      <rPr>
        <b/>
        <sz val="10"/>
        <color indexed="18"/>
        <rFont val="Arial"/>
        <family val="2"/>
      </rPr>
      <t>Trabalho em Equipe:</t>
    </r>
    <r>
      <rPr>
        <sz val="10"/>
        <color indexed="18"/>
        <rFont val="Arial"/>
        <family val="2"/>
      </rPr>
      <t xml:space="preserve"> É a qualidade de trabalhar cooperativamente com outras pessoas em prol de objetivos comuns. Reconhece os papéis de cada em desempenha, respeitando a contribuição dos outros integrantes. Comunica-se com todos para trocar ideias e informações.</t>
    </r>
  </si>
  <si>
    <r>
      <rPr>
        <b/>
        <sz val="10"/>
        <color indexed="18"/>
        <rFont val="Arial"/>
        <family val="2"/>
      </rPr>
      <t>Foco em Resultado:</t>
    </r>
    <r>
      <rPr>
        <sz val="10"/>
        <color indexed="18"/>
        <rFont val="Arial"/>
        <family val="2"/>
      </rPr>
      <t xml:space="preserve"> Valoriza metas e objetivos bem definidos. Segue bons planos de ação, evitando distrações e obstáculos que afetam sua produtividade no dia a dia. Mantém-se focado naquilo que agrega mais valor (prazo e qualidade) às entregas finais aos clientes e ao negócio.</t>
    </r>
  </si>
  <si>
    <r>
      <rPr>
        <b/>
        <sz val="10"/>
        <color indexed="18"/>
        <rFont val="Arial"/>
        <family val="2"/>
      </rPr>
      <t xml:space="preserve">Inovação e Criatividade: </t>
    </r>
    <r>
      <rPr>
        <sz val="10"/>
        <color indexed="18"/>
        <rFont val="Arial"/>
        <family val="2"/>
      </rPr>
      <t>É o talento de desenvolver soluções criativas e abordagens inovadoras e realistas para a solução de problemas ou para a melhoria contínua. Adapta-se a mudanças com rapidez, está sempre aberto a diferentes ideias.</t>
    </r>
  </si>
  <si>
    <r>
      <rPr>
        <b/>
        <sz val="10"/>
        <color indexed="18"/>
        <rFont val="Arial"/>
        <family val="2"/>
      </rPr>
      <t xml:space="preserve">Organização: </t>
    </r>
    <r>
      <rPr>
        <sz val="10"/>
        <color indexed="18"/>
        <rFont val="Arial"/>
        <family val="2"/>
      </rPr>
      <t>É a habilidade de colocar atividades e espaços em ordem para conseguir cumprir objetivos. Analisa dados e cenários, estabelece tarefas e ações, a exemplo de follow-ups de controle, para evitar desperdício de tempo e recursos.</t>
    </r>
  </si>
  <si>
    <r>
      <rPr>
        <b/>
        <sz val="10"/>
        <color indexed="18"/>
        <rFont val="Arial"/>
        <family val="2"/>
      </rPr>
      <t>Relacionamento Interpessoal:</t>
    </r>
    <r>
      <rPr>
        <sz val="10"/>
        <color indexed="18"/>
        <rFont val="Arial"/>
        <family val="2"/>
      </rPr>
      <t xml:space="preserve"> É o condão de construir e manter um conjunto de relacionamentos internos e externos que contribuam para a realização dos objetivos da INTEREST. Dedica tempo e demostra genuíno interêsse por pessoas.</t>
    </r>
  </si>
  <si>
    <r>
      <rPr>
        <b/>
        <sz val="10"/>
        <color indexed="18"/>
        <rFont val="Arial"/>
        <family val="2"/>
      </rPr>
      <t>Raciocínio Lógico e Analítico:</t>
    </r>
    <r>
      <rPr>
        <sz val="10"/>
        <color indexed="18"/>
        <rFont val="Arial"/>
        <family val="2"/>
      </rPr>
      <t xml:space="preserve"> É a capacidade de compreender uma situação, identificando suas partes, estabelecendo relações, e analisando impactos de forma lógica e consistente.</t>
    </r>
  </si>
  <si>
    <r>
      <rPr>
        <b/>
        <sz val="10"/>
        <color indexed="18"/>
        <rFont val="Arial"/>
        <family val="2"/>
      </rPr>
      <t>Administração de Conflitos:</t>
    </r>
    <r>
      <rPr>
        <sz val="10"/>
        <color indexed="18"/>
        <rFont val="Arial"/>
        <family val="2"/>
      </rPr>
      <t xml:space="preserve"> É a inteligência de facilitar o convívio entre as singularidades, com o intuito de transformá-las na força do time, e não na causa dos conflitos. Sabe escutar as partes na busca da solução justa, com firmeza, sem ser grosso e autoritário e com gentileza, sem ser passivo.</t>
    </r>
  </si>
  <si>
    <t>Interesse por Conhecimento</t>
  </si>
  <si>
    <t>N/A</t>
  </si>
  <si>
    <t>Auto- desenvolvimento</t>
  </si>
  <si>
    <t>Prática Trabalho Seguro</t>
  </si>
  <si>
    <t>Trabalho com Equipes Multidiciplinares</t>
  </si>
  <si>
    <t>Gerente de Área SPCS</t>
  </si>
  <si>
    <t>Líder Técnico Área Elétrica ou Controle/Automação</t>
  </si>
  <si>
    <t>Engenheiro Eletricista ou Controle/Automação I</t>
  </si>
  <si>
    <t>Engenheiro Eletricista ou Controle/Automação II</t>
  </si>
  <si>
    <t>Engenheiro Eletricista ou Controle/Automação III</t>
  </si>
  <si>
    <t>Engenheiro Eletricista ou Controle/Automação IV</t>
  </si>
  <si>
    <t>Técnico Eletrotécnico I</t>
  </si>
  <si>
    <t>Técnico Eletrotécnico II</t>
  </si>
  <si>
    <t>Técnico Eletrotécnico III</t>
  </si>
  <si>
    <t>Técnico Eletrotécnico IV</t>
  </si>
  <si>
    <t>Estagiário Engenharia Elétrica ou Controle/Automação I</t>
  </si>
  <si>
    <t>Estagiário Engenharia Elétrica ou Controle/Automação II</t>
  </si>
  <si>
    <t>Visão Espacial</t>
  </si>
  <si>
    <t>Iniciativa e Proatividade</t>
  </si>
  <si>
    <t>Precisão</t>
  </si>
  <si>
    <t>Discrição</t>
  </si>
  <si>
    <r>
      <rPr>
        <b/>
        <sz val="10"/>
        <color indexed="18"/>
        <rFont val="Arial"/>
        <family val="2"/>
      </rPr>
      <t>Prática de Trabalho Seguro:</t>
    </r>
    <r>
      <rPr>
        <sz val="10"/>
        <color indexed="18"/>
        <rFont val="Arial"/>
        <family val="2"/>
      </rPr>
      <t xml:space="preserve"> Coloca a saúde e a segurança no trabalho, assim como o respeito ao meio ambiente como valores absolutos. Conhece e pratica a Política de SSMA da INTEREST.</t>
    </r>
  </si>
  <si>
    <r>
      <rPr>
        <b/>
        <sz val="10"/>
        <color indexed="18"/>
        <rFont val="Arial"/>
        <family val="2"/>
      </rPr>
      <t>Visão Espacial:</t>
    </r>
    <r>
      <rPr>
        <sz val="10"/>
        <color indexed="18"/>
        <rFont val="Arial"/>
        <family val="2"/>
      </rPr>
      <t xml:space="preserve"> Esta competência deve, igualmente, ser entendida num sentido mais restrito e visa especificamente o Cadista.Trata-se do dom  de perceber mentalmente e  comunicar formas espaciais a partir de desenhos representativos em duas dimensões.</t>
    </r>
  </si>
  <si>
    <r>
      <rPr>
        <b/>
        <sz val="10"/>
        <color indexed="18"/>
        <rFont val="Arial"/>
        <family val="2"/>
      </rPr>
      <t>Trabalho com Equipes Multidiciplinares:</t>
    </r>
    <r>
      <rPr>
        <sz val="10"/>
        <color indexed="18"/>
        <rFont val="Arial"/>
        <family val="2"/>
      </rPr>
      <t xml:space="preserve"> Esta competência, também deve ser entendida num sentido mais restrito e visa especificamente o Engenheiro IV. Por estar no último degrau antes uma posição de gestão, o profissional deve desenvolver  conhecimentos e consolidar networking, para atuar através das disciplinas com competência e desenvoltura.</t>
    </r>
  </si>
  <si>
    <r>
      <rPr>
        <b/>
        <sz val="10"/>
        <color indexed="18"/>
        <rFont val="Arial"/>
        <family val="2"/>
      </rPr>
      <t>Precisão:</t>
    </r>
    <r>
      <rPr>
        <sz val="10"/>
        <color indexed="18"/>
        <rFont val="Arial"/>
        <family val="2"/>
      </rPr>
      <t xml:space="preserve"> Esta competência deve ser entendida num sentido  restrito e visa especificamente o profissional da Diretoria Administrativa-Finaceira. É a virtude de ser rigoroso com registros contábeis e financeiros que exigem exatidão dos números.</t>
    </r>
  </si>
  <si>
    <r>
      <rPr>
        <b/>
        <sz val="10"/>
        <color indexed="18"/>
        <rFont val="Arial"/>
        <family val="2"/>
      </rPr>
      <t>Discrição:</t>
    </r>
    <r>
      <rPr>
        <sz val="10"/>
        <color indexed="18"/>
        <rFont val="Arial"/>
        <family val="2"/>
      </rPr>
      <t xml:space="preserve"> Da mesma forma, esta competência deve ser entendida num sentido  restrito e visa especificamente o profissional da Diretoria Administrativa-Finaceira. É a qualidade de ser reservado com as informações contábeis e pessoais dos colaboradores visando a preservação da confidencialidade das informações sensíveis.</t>
    </r>
  </si>
  <si>
    <t>Domínio de softwares da área.</t>
  </si>
  <si>
    <t>Pacote Office (Excel avançado, desejável).</t>
  </si>
  <si>
    <t>Finanças e contabilidade básica.</t>
  </si>
  <si>
    <t>Legislação tributária básica, desejável.</t>
  </si>
  <si>
    <t>ERP (Totvs, Oracle, etc.), desejável</t>
  </si>
  <si>
    <t>Processos financeiros (controle de custos, contas a pagar, contas a receber, fluxo de caixa, faturamento, controles financeiros, conciliação bancária, etc).</t>
  </si>
  <si>
    <t>Entendimento das rotinas e procedimentos de RH.</t>
  </si>
  <si>
    <t>Controle de custos.</t>
  </si>
  <si>
    <t>Desenvolvimento de métricas e relatórios.</t>
  </si>
  <si>
    <t>Conhecimento de leis trabalhistas, desejável.</t>
  </si>
  <si>
    <t>Adiantamentos e fechamento de prestação de contas de viagem.</t>
  </si>
  <si>
    <t>Controle de frota de veículos.</t>
  </si>
  <si>
    <t>Sistema de compras e controle de estoques.</t>
  </si>
  <si>
    <t>Rotinas gerais de contabilidade, conciliação bancária, relatórios gerenciais, lançamentos e classificações.</t>
  </si>
  <si>
    <t>Controle de custos e financeiro.</t>
  </si>
  <si>
    <t>Entendimento de análise de dados e de previsão.</t>
  </si>
  <si>
    <t>Pacote Office, especialmente Excel avançado.</t>
  </si>
  <si>
    <t>Microsoft Power BI.</t>
  </si>
  <si>
    <t>Linguagem Python.</t>
  </si>
  <si>
    <t>Capacidade de analisar e identificar critérios, padrões e doc. referência.</t>
  </si>
  <si>
    <t>Arquitetura - Planta, fachadas, cobertura e esquadrias.</t>
  </si>
  <si>
    <t>Terraplenagem e Especificação Técnica</t>
  </si>
  <si>
    <t>Locação de bases, canaletas e edificações</t>
  </si>
  <si>
    <t>Drenagem - Planta, detalhes, incluindo MC.</t>
  </si>
  <si>
    <t>Bacia de contenção e caixa separadora água e óleo, incluindo MC.</t>
  </si>
  <si>
    <t>Canaletas - Planta e detalhes.</t>
  </si>
  <si>
    <t>Bases e fundações de pórticos e equipamentos, incluindo MC.</t>
  </si>
  <si>
    <t>Fundações e estruturas de edificações, incluindo MC.</t>
  </si>
  <si>
    <t>Locação de sondagem, especificação de sondagem</t>
  </si>
  <si>
    <t>Instalações hidro-sanitárias.</t>
  </si>
  <si>
    <t>Projeto de Combate à Incêndio</t>
  </si>
  <si>
    <t>Urbanização - Acessos, cercas, alambrados, portões, incluindo MC de pavimento.</t>
  </si>
  <si>
    <t>Projeto de Aproveitamento de Água de Chuva</t>
  </si>
  <si>
    <t>Estruturas Metálicas</t>
  </si>
  <si>
    <t>Capacidade de analizar e identificar criterios, padrões e documentos de referencia.</t>
  </si>
  <si>
    <t>Conhecimento dos principios dos sistemas de proteção, controle e supervisão de subestações</t>
  </si>
  <si>
    <t>Capacidade de desenvolver projetos de MPCCSR (Funcional,logico,Fiação e interligação</t>
  </si>
  <si>
    <t>Dominio na execução de projetos utilizando o cadgraph</t>
  </si>
  <si>
    <t>Capacidade para desenvolver arquitetura do sistema digital</t>
  </si>
  <si>
    <t>Capacidade  de elaboração de lista de pontos</t>
  </si>
  <si>
    <t>Dominio no desenvolvimento de base de dados e telas no SAGE</t>
  </si>
  <si>
    <t xml:space="preserve">Dominio dos procedimentos de testes de nível 1 (TAF, TAC) </t>
  </si>
  <si>
    <t>Dominio na integração da base de dados no TAF e TAC</t>
  </si>
  <si>
    <t>Proj. Básico de MPCC</t>
  </si>
  <si>
    <t>Proj. Básico de Serv. Aux.</t>
  </si>
  <si>
    <t>M.C - Carregador /Retificadores</t>
  </si>
  <si>
    <t>M.C - GMG</t>
  </si>
  <si>
    <t>Dimens. Cabos e Disparadores</t>
  </si>
  <si>
    <t>Unifilar Simplificado</t>
  </si>
  <si>
    <t>Planta de Situação e Localização</t>
  </si>
  <si>
    <t>Arranjo Físico - Planta e Cortes</t>
  </si>
  <si>
    <t>Dimensionamento de Barramento</t>
  </si>
  <si>
    <t>Lista de Material de Barramento</t>
  </si>
  <si>
    <t>Esticamento de Cabos, incluindo o relatório</t>
  </si>
  <si>
    <t>Cadeias e Fixação de Cabos Para-raios</t>
  </si>
  <si>
    <t>Eletrodutos e Canaletas - Planta e Detalhes, incluindo Lista de Material</t>
  </si>
  <si>
    <t>Detalhes de Instalação de Equipamentos de Pátio</t>
  </si>
  <si>
    <t>Requisitos de Estruturas (Planta, Cortes, Isométrico)</t>
  </si>
  <si>
    <t>Sistema de Proteção Atmosférica do Pátio e Edificações - Planta e Cortes, incluindo Memória de Cálculo</t>
  </si>
  <si>
    <t>Malha de Terra - Planta e Detalhes, incluindo Memória de Cálculo e Lista de Material</t>
  </si>
  <si>
    <t>Iluminação de Pátio - Planta, Quadros, incluindo Memória de Cálculo e Lista de Material</t>
  </si>
  <si>
    <t>Edificações - Intalações Elétricas, Incluindo Memória de Cálculo de Climatização e Lista de Material</t>
  </si>
  <si>
    <t>Critérios de avaliação:
1- Em desenvolvimento. Ex. Estagiário ou trainee.
2- Executa com orientação e supervisão próximas.
3- Executa com autonomia. O seu trabalho necessita de verificação mais cuidadosa.
4- Executa plenamente e possui conhecimento para supervisionar e verificar outros.
5- Profissional referência sobre o assunto. Reconhecido no meio.</t>
  </si>
  <si>
    <r>
      <rPr>
        <b/>
        <sz val="10"/>
        <color indexed="18"/>
        <rFont val="Arial"/>
        <family val="2"/>
      </rPr>
      <t>Visão de Negócios:</t>
    </r>
    <r>
      <rPr>
        <sz val="10"/>
        <color indexed="18"/>
        <rFont val="Arial"/>
        <family val="2"/>
      </rPr>
      <t xml:space="preserve"> É a capacidade de entender a Visão e Missão da INTEREST no contexto do mercado, relacionando fatores para formular  estratégias e soluções que agreguem valor à organização.</t>
    </r>
  </si>
  <si>
    <t>Análise Proj. Básico Civil</t>
  </si>
  <si>
    <t>Análise Proj. Básico Eletromecânico</t>
  </si>
  <si>
    <t>Análise Proj. Básico de MPCC</t>
  </si>
  <si>
    <t>Análise Proj. Básico de Serv. Aux.</t>
  </si>
  <si>
    <t>Análise Proj. Executivo Civil</t>
  </si>
  <si>
    <t>Análise Proj. Executivo Eletromecânico</t>
  </si>
  <si>
    <t>Análise Proj. Executivo de MPCC</t>
  </si>
  <si>
    <t>Análise Projeto de Equipamentos</t>
  </si>
  <si>
    <t>Levantamento de Campo</t>
  </si>
  <si>
    <t>Acompanhamento Comissionamento e Posta em Marcha</t>
  </si>
  <si>
    <t>-</t>
  </si>
  <si>
    <t xml:space="preserve">O PDI é um instrumento de planejamento que deve conter ações de desenvolvimento a serem realizadas pelo colaborador no próximo período. 
Ao construir o seu PDI, baseia-se na avaliação recebido pelo gestor, com foco nas principais lacunas de competências. 
Planeja-se, então, ações de desenvolvimento para o período máximo de um ano. 
As competências gerais (soft skills) e as competências técnicas (hard skills) avaliadas são aquelas estabelecidas na PCCR. </t>
  </si>
  <si>
    <t>Se o seu desempenho foi considerado abaixo das expectativas, monte o seu PDI para:</t>
  </si>
  <si>
    <t xml:space="preserve">Desenvolver as competências essenciais para a sua função atual; </t>
  </si>
  <si>
    <t xml:space="preserve">Buscar feedback constante do gestor e da equipe; </t>
  </si>
  <si>
    <t>Participar de atividades "on-the-job" que auxiliam na melhoria de desempenho.</t>
  </si>
  <si>
    <t>Acompanhamento Obras Civis, Montagem Eletromecânico e Elétrico</t>
  </si>
  <si>
    <r>
      <rPr>
        <b/>
        <sz val="10"/>
        <color indexed="18"/>
        <rFont val="Arial"/>
        <family val="2"/>
      </rPr>
      <t>Interêsse por Conhecimento:</t>
    </r>
    <r>
      <rPr>
        <sz val="10"/>
        <color indexed="18"/>
        <rFont val="Arial"/>
        <family val="2"/>
      </rPr>
      <t xml:space="preserve"> Possui aqui um sentido mais restrito e visa especificamente o estagiário. Refere-se ao interêsse demonstratado pelo mesmo pelos conhecimentos e pelas atividades oferecidos pela INTEREST.</t>
    </r>
  </si>
  <si>
    <r>
      <rPr>
        <b/>
        <sz val="10"/>
        <color indexed="18"/>
        <rFont val="Arial"/>
        <family val="2"/>
      </rPr>
      <t>Autodesenvolvimento:</t>
    </r>
    <r>
      <rPr>
        <sz val="10"/>
        <color indexed="18"/>
        <rFont val="Arial"/>
        <family val="2"/>
      </rPr>
      <t xml:space="preserve">  Possui aqui um sentido restrito, visando os profissionais que superaram a fase inicial da crreira. Este, busca por iniciativa própria o desenvolvimento e assume a responsabilidade na conquista de novos conhecimentos/habilidades e formação de networking, visando a sua carreira profissional.</t>
    </r>
  </si>
  <si>
    <t>MÉDIAS</t>
  </si>
  <si>
    <t>Assinatura do Gestor / Colaborador:</t>
  </si>
  <si>
    <t>Média Ponderada Geral</t>
  </si>
  <si>
    <r>
      <rPr>
        <b/>
        <sz val="10"/>
        <color indexed="18"/>
        <rFont val="Arial"/>
        <family val="2"/>
      </rPr>
      <t>Comunicação:</t>
    </r>
    <r>
      <rPr>
        <sz val="10"/>
        <color indexed="18"/>
        <rFont val="Arial"/>
        <family val="2"/>
      </rPr>
      <t xml:space="preserve"> É o atributo de trocar informações com clareza, sejam elas informações técnicas, planos, estratégias, comportamentos até mesmo ideias e conceitos. Sabe se expressar e ouvir, reconhecendo  as especificidades dos interlocutores, meios e situações. Certifica-se do correto entendimento de ambas as partes.</t>
    </r>
  </si>
  <si>
    <t>Carla Leal Santos</t>
  </si>
  <si>
    <t>Luiz Sérgio</t>
  </si>
  <si>
    <r>
      <rPr>
        <b/>
        <sz val="10"/>
        <color indexed="18"/>
        <rFont val="Arial"/>
        <family val="2"/>
      </rPr>
      <t>Iniciativa e Proatividade:</t>
    </r>
    <r>
      <rPr>
        <sz val="10"/>
        <color indexed="18"/>
        <rFont val="Arial"/>
        <family val="2"/>
      </rPr>
      <t xml:space="preserve"> É a faculdade de identificar e antecipar problemas ou oportunidades e tomar ações adequadas e ponderadas, visando o melhor resultado. Não foge, nem terceiriza o enfrentamento das situações que se apresentam.</t>
    </r>
  </si>
  <si>
    <t>FOLLOW-UP 1
DATA</t>
  </si>
  <si>
    <t>FOLLOW-UP 2
DATA</t>
  </si>
  <si>
    <t>FOLLOW-UP 3
DATA</t>
  </si>
  <si>
    <t>2024 / 2025</t>
  </si>
  <si>
    <t>Reunião, por área, para explicar os passos do PDI</t>
  </si>
  <si>
    <t>ETAPAS DO PDI</t>
  </si>
  <si>
    <t>Gerente de área envia e-mail para o colaborador contendo as Avaliações Soft Skills e Hard Skills em PDF, convidando para a reunião inicial do PDI 2024.</t>
  </si>
  <si>
    <t>Realizar a reunião com o colaborador para discussão do resultado das Auto-Avaliações e Avaliações do Gerente.</t>
  </si>
  <si>
    <t>Assinatura do Colaborador:</t>
  </si>
  <si>
    <t>Data Avaliação Conjunta</t>
  </si>
  <si>
    <t>____ / ____ / ____</t>
  </si>
  <si>
    <t>___ / ___ /2024</t>
  </si>
  <si>
    <t>FICHA DE NIVELAMENTO  - COMPETÊNCIAS COMPORTAMENTAIS</t>
  </si>
  <si>
    <t>FICHA DE NIVELAMENTO -  COMPETÊNCIAS TÉCNICAS</t>
  </si>
  <si>
    <t>Critérios de avaliação:
1- Em desenvolvimento. Ex. Auxiliar de Engenharia, Engenheiro 1, Técnico 1.
2- Executa com orientação e supervisão próximas.
3- Executa com autonomia. O seu trabalho necessita de verificação mais cuidadosa.
4- Executa plenamente e possui conhecimento para supervisionar e verificar outros.
5- Profissional referência sobre o assunto. Reconhecido no meio.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</si>
</sst>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0"/>
      <name val="Tahoma"/>
      <family val="2"/>
    </font>
    <font>
      <b/>
      <sz val="10"/>
      <color indexed="9"/>
      <name val="Tahoma"/>
      <family val="2"/>
    </font>
    <font>
      <b/>
      <sz val="11"/>
      <name val="Tahoma"/>
      <family val="2"/>
    </font>
    <font>
      <b/>
      <sz val="10"/>
      <name val="Tahoma"/>
      <family val="2"/>
    </font>
    <font>
      <sz val="7"/>
      <color indexed="9"/>
      <name val="Tahoma"/>
      <family val="2"/>
    </font>
    <font>
      <sz val="9"/>
      <name val="Tahoma"/>
      <family val="2"/>
    </font>
    <font>
      <b/>
      <sz val="9"/>
      <name val="Tahoma"/>
      <family val="2"/>
    </font>
    <font>
      <sz val="10"/>
      <name val="Arial"/>
      <family val="2"/>
    </font>
    <font>
      <b/>
      <sz val="10"/>
      <name val="Arial"/>
      <family val="2"/>
    </font>
    <font>
      <b/>
      <sz val="11"/>
      <color indexed="18"/>
      <name val="Arial"/>
      <family val="2"/>
    </font>
    <font>
      <b/>
      <sz val="10"/>
      <color indexed="9"/>
      <name val="Arial"/>
      <family val="2"/>
    </font>
    <font>
      <b/>
      <sz val="10"/>
      <color indexed="18"/>
      <name val="Arial"/>
      <family val="2"/>
    </font>
    <font>
      <sz val="10"/>
      <color indexed="18"/>
      <name val="Arial"/>
      <family val="2"/>
    </font>
    <font>
      <b/>
      <sz val="9"/>
      <color indexed="9"/>
      <name val="Arial"/>
      <family val="2"/>
    </font>
    <font>
      <sz val="7"/>
      <color indexed="9"/>
      <name val="Arial"/>
      <family val="2"/>
    </font>
    <font>
      <sz val="8"/>
      <color indexed="18"/>
      <name val="Arial"/>
      <family val="2"/>
    </font>
    <font>
      <b/>
      <sz val="8"/>
      <color indexed="18"/>
      <name val="Arial"/>
      <family val="2"/>
    </font>
    <font>
      <b/>
      <sz val="10"/>
      <color rgb="FF000099"/>
      <name val="Arial"/>
      <family val="2"/>
    </font>
    <font>
      <b/>
      <u/>
      <sz val="10"/>
      <color rgb="FF000099"/>
      <name val="Arial"/>
      <family val="2"/>
    </font>
    <font>
      <sz val="10"/>
      <color rgb="FF000099"/>
      <name val="Arial"/>
      <family val="2"/>
    </font>
    <font>
      <sz val="10"/>
      <color theme="1"/>
      <name val="Arial"/>
      <family val="2"/>
    </font>
    <font>
      <sz val="10"/>
      <color theme="1"/>
      <name val="Calibri"/>
      <family val="2"/>
      <scheme val="minor"/>
    </font>
    <font>
      <sz val="10"/>
      <color rgb="FF000099"/>
      <name val="Calibri"/>
      <family val="2"/>
      <scheme val="minor"/>
    </font>
    <font>
      <strike/>
      <sz val="10"/>
      <color theme="1"/>
      <name val="Calibri"/>
      <family val="2"/>
      <scheme val="minor"/>
    </font>
    <font>
      <sz val="11"/>
      <color indexed="81"/>
      <name val="Segoe UI"/>
      <family val="2"/>
    </font>
    <font>
      <b/>
      <sz val="11"/>
      <color indexed="81"/>
      <name val="Segoe UI"/>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22"/>
        <bgColor indexed="64"/>
      </patternFill>
    </fill>
    <fill>
      <patternFill patternType="solid">
        <fgColor rgb="FFFFCC66"/>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4">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3" fillId="2" borderId="0" xfId="0" applyFont="1" applyFill="1" applyAlignment="1">
      <alignment horizontal="left" vertical="center"/>
    </xf>
    <xf numFmtId="0" fontId="3"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vertical="center"/>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6"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49" fontId="1" fillId="0" borderId="0" xfId="0" applyNumberFormat="1" applyFont="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7" fillId="2" borderId="0" xfId="0" applyFont="1" applyFill="1" applyAlignment="1">
      <alignment horizontal="left" vertical="center" wrapText="1"/>
    </xf>
    <xf numFmtId="0" fontId="2" fillId="3" borderId="0" xfId="0" applyFont="1" applyFill="1" applyAlignment="1">
      <alignment horizontal="right" vertical="center"/>
    </xf>
    <xf numFmtId="0" fontId="5" fillId="3" borderId="0" xfId="0" applyFont="1" applyFill="1" applyAlignment="1">
      <alignment horizontal="left" vertical="center" wrapText="1"/>
    </xf>
    <xf numFmtId="0" fontId="1" fillId="3" borderId="0" xfId="0" applyFont="1" applyFill="1" applyAlignment="1">
      <alignment horizontal="left" vertical="center" wrapText="1"/>
    </xf>
    <xf numFmtId="0" fontId="4" fillId="3" borderId="0" xfId="0" applyFont="1" applyFill="1" applyAlignment="1">
      <alignment horizontal="center" vertical="center" wrapText="1"/>
    </xf>
    <xf numFmtId="0" fontId="4" fillId="4" borderId="7" xfId="0" applyFont="1" applyFill="1" applyBorder="1" applyAlignment="1" applyProtection="1">
      <alignment horizontal="center" vertical="center" wrapText="1"/>
      <protection locked="0"/>
    </xf>
    <xf numFmtId="0" fontId="1" fillId="3" borderId="0" xfId="0" applyFont="1" applyFill="1" applyAlignment="1">
      <alignment horizontal="left" vertical="center"/>
    </xf>
    <xf numFmtId="0" fontId="4" fillId="3" borderId="0" xfId="0" applyFont="1" applyFill="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wrapText="1" indent="1"/>
    </xf>
    <xf numFmtId="0" fontId="11" fillId="3" borderId="0" xfId="0" applyFont="1" applyFill="1" applyAlignment="1">
      <alignment horizontal="right" vertical="center"/>
    </xf>
    <xf numFmtId="0" fontId="12" fillId="4" borderId="4" xfId="0" applyFont="1" applyFill="1" applyBorder="1" applyAlignment="1" applyProtection="1">
      <alignment horizontal="left" vertical="center"/>
      <protection locked="0"/>
    </xf>
    <xf numFmtId="0" fontId="13" fillId="4" borderId="5" xfId="0" applyFont="1" applyFill="1" applyBorder="1" applyAlignment="1" applyProtection="1">
      <alignment horizontal="left" vertical="center"/>
      <protection locked="0"/>
    </xf>
    <xf numFmtId="14" fontId="13" fillId="4" borderId="6" xfId="0" applyNumberFormat="1" applyFont="1" applyFill="1" applyBorder="1" applyAlignment="1" applyProtection="1">
      <alignment horizontal="left" vertical="center"/>
      <protection locked="0"/>
    </xf>
    <xf numFmtId="0" fontId="9" fillId="3" borderId="0" xfId="0" applyFont="1" applyFill="1" applyAlignment="1">
      <alignment horizontal="left" vertical="center"/>
    </xf>
    <xf numFmtId="0" fontId="15" fillId="3" borderId="0" xfId="0"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center" vertical="center" wrapText="1"/>
    </xf>
    <xf numFmtId="0" fontId="11" fillId="3" borderId="0" xfId="0" applyFont="1" applyFill="1" applyAlignment="1">
      <alignment horizontal="right" vertical="center" wrapText="1"/>
    </xf>
    <xf numFmtId="0" fontId="12" fillId="4" borderId="7" xfId="0" applyFont="1" applyFill="1" applyBorder="1" applyAlignment="1" applyProtection="1">
      <alignment horizontal="center" vertical="center" wrapText="1"/>
      <protection locked="0"/>
    </xf>
    <xf numFmtId="0" fontId="12" fillId="4" borderId="7" xfId="0" applyFont="1" applyFill="1" applyBorder="1" applyAlignment="1">
      <alignment horizontal="center" vertical="center" wrapText="1"/>
    </xf>
    <xf numFmtId="0" fontId="9" fillId="3" borderId="0" xfId="0" applyFont="1" applyFill="1" applyAlignment="1">
      <alignment horizontal="left" vertical="top" wrapText="1"/>
    </xf>
    <xf numFmtId="0" fontId="16" fillId="4" borderId="7" xfId="0" applyFont="1" applyFill="1" applyBorder="1" applyAlignment="1">
      <alignment horizontal="center" vertical="center" wrapText="1"/>
    </xf>
    <xf numFmtId="0" fontId="17" fillId="4" borderId="7" xfId="0" applyFont="1" applyFill="1" applyBorder="1" applyAlignment="1" applyProtection="1">
      <alignment horizontal="center" vertical="center" wrapText="1"/>
      <protection locked="0"/>
    </xf>
    <xf numFmtId="0" fontId="16" fillId="4" borderId="7" xfId="0" applyFont="1" applyFill="1" applyBorder="1" applyAlignment="1" applyProtection="1">
      <alignment horizontal="center" vertical="center" wrapText="1"/>
      <protection locked="0"/>
    </xf>
    <xf numFmtId="0" fontId="18" fillId="4" borderId="11" xfId="0" applyFont="1" applyFill="1" applyBorder="1" applyAlignment="1">
      <alignment horizontal="left" vertical="center" wrapText="1" indent="1"/>
    </xf>
    <xf numFmtId="1" fontId="12" fillId="4" borderId="7" xfId="0" applyNumberFormat="1" applyFont="1" applyFill="1" applyBorder="1" applyAlignment="1" applyProtection="1">
      <alignment horizontal="center" vertical="center" wrapText="1"/>
      <protection locked="0"/>
    </xf>
    <xf numFmtId="1" fontId="12" fillId="4" borderId="7" xfId="0" applyNumberFormat="1" applyFont="1" applyFill="1" applyBorder="1" applyAlignment="1">
      <alignment horizontal="center" vertical="center" wrapText="1"/>
    </xf>
    <xf numFmtId="1" fontId="16" fillId="4" borderId="7" xfId="0" applyNumberFormat="1" applyFont="1" applyFill="1" applyBorder="1" applyAlignment="1">
      <alignment horizontal="center" vertical="center" wrapText="1"/>
    </xf>
    <xf numFmtId="1" fontId="17" fillId="4" borderId="7" xfId="0" applyNumberFormat="1" applyFont="1" applyFill="1" applyBorder="1" applyAlignment="1" applyProtection="1">
      <alignment horizontal="center" vertical="center" wrapText="1"/>
      <protection locked="0"/>
    </xf>
    <xf numFmtId="1" fontId="16" fillId="4" borderId="7" xfId="0" applyNumberFormat="1" applyFont="1" applyFill="1" applyBorder="1" applyAlignment="1" applyProtection="1">
      <alignment horizontal="center" vertical="center" wrapText="1"/>
      <protection locked="0"/>
    </xf>
    <xf numFmtId="0" fontId="20" fillId="4" borderId="12" xfId="0" applyFont="1" applyFill="1" applyBorder="1" applyAlignment="1">
      <alignment horizontal="left" vertical="center" wrapText="1" indent="2"/>
    </xf>
    <xf numFmtId="49" fontId="20" fillId="4" borderId="12" xfId="0" applyNumberFormat="1" applyFont="1" applyFill="1" applyBorder="1" applyAlignment="1">
      <alignment horizontal="left" vertical="center" wrapText="1"/>
    </xf>
    <xf numFmtId="49" fontId="20" fillId="4" borderId="13" xfId="0" applyNumberFormat="1" applyFont="1" applyFill="1" applyBorder="1" applyAlignment="1">
      <alignment horizontal="left" vertical="center" wrapText="1" indent="2"/>
    </xf>
    <xf numFmtId="0" fontId="8" fillId="0" borderId="0" xfId="0" applyFont="1" applyAlignment="1">
      <alignment vertical="top" wrapText="1"/>
    </xf>
    <xf numFmtId="0" fontId="8" fillId="0" borderId="0" xfId="0" applyFont="1" applyAlignment="1">
      <alignment wrapText="1"/>
    </xf>
    <xf numFmtId="0" fontId="0" fillId="0" borderId="3" xfId="0" applyBorder="1"/>
    <xf numFmtId="0" fontId="11" fillId="3" borderId="0" xfId="0" applyFont="1" applyFill="1" applyAlignment="1">
      <alignment horizontal="left" vertical="center" wrapText="1"/>
    </xf>
    <xf numFmtId="49" fontId="18" fillId="4" borderId="9" xfId="0" applyNumberFormat="1" applyFont="1" applyFill="1" applyBorder="1" applyAlignment="1">
      <alignment vertical="center" wrapText="1"/>
    </xf>
    <xf numFmtId="49" fontId="20" fillId="4" borderId="8" xfId="0" applyNumberFormat="1" applyFont="1" applyFill="1" applyBorder="1" applyAlignment="1">
      <alignment vertical="center" wrapText="1"/>
    </xf>
    <xf numFmtId="49" fontId="20" fillId="4" borderId="14" xfId="0" applyNumberFormat="1" applyFont="1" applyFill="1" applyBorder="1" applyAlignment="1">
      <alignment horizontal="left" vertical="center" wrapText="1" indent="2"/>
    </xf>
    <xf numFmtId="49" fontId="18" fillId="4" borderId="14" xfId="0" applyNumberFormat="1" applyFont="1" applyFill="1" applyBorder="1" applyAlignment="1">
      <alignment vertical="center" wrapText="1"/>
    </xf>
    <xf numFmtId="0" fontId="18" fillId="4" borderId="15" xfId="0" applyFont="1" applyFill="1" applyBorder="1" applyAlignment="1">
      <alignment horizontal="left" vertical="center" wrapText="1" indent="1"/>
    </xf>
    <xf numFmtId="0" fontId="8" fillId="0" borderId="0" xfId="0" applyFont="1" applyAlignment="1">
      <alignment horizontal="left" vertical="top" wrapText="1"/>
    </xf>
    <xf numFmtId="0" fontId="9" fillId="5" borderId="0" xfId="0" applyFont="1" applyFill="1" applyAlignment="1">
      <alignment horizontal="left" vertical="center" wrapText="1"/>
    </xf>
    <xf numFmtId="0" fontId="0" fillId="5" borderId="0" xfId="0" applyFill="1"/>
    <xf numFmtId="0" fontId="13" fillId="4" borderId="7" xfId="0" applyFont="1" applyFill="1" applyBorder="1" applyAlignment="1" applyProtection="1">
      <alignment horizontal="left" vertical="center" wrapText="1"/>
      <protection locked="0"/>
    </xf>
    <xf numFmtId="0" fontId="13" fillId="4" borderId="7" xfId="0" applyFont="1" applyFill="1" applyBorder="1" applyAlignment="1" applyProtection="1">
      <alignment vertical="center" wrapText="1"/>
      <protection locked="0"/>
    </xf>
    <xf numFmtId="0" fontId="12" fillId="4" borderId="7" xfId="0" applyFont="1" applyFill="1" applyBorder="1" applyAlignment="1" applyProtection="1">
      <alignment vertical="center" wrapText="1"/>
      <protection locked="0"/>
    </xf>
    <xf numFmtId="0" fontId="8" fillId="0" borderId="0" xfId="0" applyFont="1" applyAlignment="1">
      <alignment horizontal="center" vertical="center" wrapText="1"/>
    </xf>
    <xf numFmtId="0" fontId="21" fillId="0" borderId="0" xfId="0" applyFont="1" applyAlignment="1">
      <alignment horizontal="center" vertical="center" wrapText="1"/>
    </xf>
    <xf numFmtId="0" fontId="9" fillId="5" borderId="0" xfId="0" applyFont="1" applyFill="1" applyAlignment="1">
      <alignment horizontal="center" vertical="center" wrapText="1"/>
    </xf>
    <xf numFmtId="0" fontId="21" fillId="5" borderId="0" xfId="0" applyFont="1" applyFill="1" applyAlignment="1">
      <alignment horizontal="center" vertical="center" wrapText="1"/>
    </xf>
    <xf numFmtId="0" fontId="9" fillId="3" borderId="0" xfId="0" applyFont="1" applyFill="1" applyAlignment="1">
      <alignment horizontal="left" vertical="center" wrapText="1"/>
    </xf>
    <xf numFmtId="1" fontId="13" fillId="4" borderId="7" xfId="0" applyNumberFormat="1" applyFont="1" applyFill="1" applyBorder="1" applyAlignment="1" applyProtection="1">
      <alignment horizontal="left" vertical="center" wrapText="1"/>
      <protection locked="0"/>
    </xf>
    <xf numFmtId="0" fontId="9" fillId="3" borderId="7" xfId="0" applyFont="1" applyFill="1" applyBorder="1" applyAlignment="1">
      <alignment horizontal="left" vertical="center" wrapText="1"/>
    </xf>
    <xf numFmtId="0" fontId="22" fillId="3" borderId="7" xfId="0" applyFont="1" applyFill="1" applyBorder="1" applyAlignment="1">
      <alignment horizontal="center" vertical="center" textRotation="90" wrapText="1"/>
    </xf>
    <xf numFmtId="0" fontId="0" fillId="3" borderId="7" xfId="0" applyFill="1" applyBorder="1"/>
    <xf numFmtId="0" fontId="0" fillId="3" borderId="7" xfId="0" applyFill="1" applyBorder="1" applyAlignment="1">
      <alignment horizontal="center" vertical="center" textRotation="90" wrapText="1"/>
    </xf>
    <xf numFmtId="0" fontId="0" fillId="3" borderId="1" xfId="0" applyFill="1" applyBorder="1" applyAlignment="1">
      <alignment horizontal="center" vertical="center" textRotation="90" wrapText="1"/>
    </xf>
    <xf numFmtId="0" fontId="8" fillId="0" borderId="0" xfId="0" quotePrefix="1" applyFont="1" applyAlignment="1">
      <alignment wrapText="1"/>
    </xf>
    <xf numFmtId="0" fontId="8" fillId="0" borderId="0" xfId="0" quotePrefix="1" applyFont="1" applyAlignment="1">
      <alignment horizontal="center" vertical="center" wrapText="1"/>
    </xf>
    <xf numFmtId="0" fontId="24" fillId="3" borderId="7" xfId="0" applyFont="1" applyFill="1" applyBorder="1" applyAlignment="1">
      <alignment horizontal="center" vertical="center" textRotation="90" wrapText="1"/>
    </xf>
    <xf numFmtId="0" fontId="8" fillId="7" borderId="0" xfId="0" applyFont="1" applyFill="1" applyAlignment="1">
      <alignment horizontal="center" vertical="center" wrapText="1"/>
    </xf>
    <xf numFmtId="2" fontId="12" fillId="4" borderId="7" xfId="0" applyNumberFormat="1" applyFont="1" applyFill="1" applyBorder="1" applyAlignment="1" applyProtection="1">
      <alignment horizontal="center" vertical="center" wrapText="1"/>
      <protection locked="0"/>
    </xf>
    <xf numFmtId="0" fontId="0" fillId="0" borderId="0" xfId="0" applyAlignment="1">
      <alignment vertical="center"/>
    </xf>
    <xf numFmtId="0" fontId="0" fillId="0" borderId="0" xfId="0" applyAlignment="1">
      <alignment vertical="center" wrapText="1"/>
    </xf>
    <xf numFmtId="0" fontId="27" fillId="0" borderId="0" xfId="0" applyFont="1" applyAlignment="1">
      <alignment horizontal="center" vertical="center"/>
    </xf>
    <xf numFmtId="2" fontId="13" fillId="4" borderId="7" xfId="0" applyNumberFormat="1" applyFont="1" applyFill="1" applyBorder="1" applyAlignment="1" applyProtection="1">
      <alignment horizontal="center" vertical="center" wrapText="1"/>
      <protection locked="0"/>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1" fillId="3" borderId="0" xfId="0" applyFont="1" applyFill="1" applyAlignment="1">
      <alignment horizontal="center" vertical="center" wrapText="1"/>
    </xf>
    <xf numFmtId="0" fontId="14" fillId="3" borderId="8" xfId="0" applyFont="1" applyFill="1" applyBorder="1" applyAlignment="1">
      <alignment horizontal="left" vertical="top" wrapText="1" indent="2"/>
    </xf>
    <xf numFmtId="0" fontId="14" fillId="3" borderId="0" xfId="0" applyFont="1" applyFill="1" applyAlignment="1">
      <alignment horizontal="left" vertical="top" wrapText="1" indent="2"/>
    </xf>
    <xf numFmtId="49" fontId="18" fillId="4" borderId="10" xfId="0" applyNumberFormat="1" applyFont="1" applyFill="1" applyBorder="1" applyAlignment="1">
      <alignment horizontal="left" vertical="center" wrapText="1"/>
    </xf>
    <xf numFmtId="0" fontId="14" fillId="3" borderId="8" xfId="0" applyFont="1" applyFill="1" applyBorder="1" applyAlignment="1">
      <alignment horizontal="left" vertical="top" wrapText="1" indent="1"/>
    </xf>
    <xf numFmtId="0" fontId="14" fillId="3" borderId="0" xfId="0" applyFont="1" applyFill="1" applyAlignment="1">
      <alignment horizontal="left" vertical="top" wrapText="1" indent="1"/>
    </xf>
    <xf numFmtId="0" fontId="11" fillId="3" borderId="12" xfId="0" applyFont="1" applyFill="1" applyBorder="1" applyAlignment="1">
      <alignment horizontal="right" vertical="center" wrapText="1"/>
    </xf>
    <xf numFmtId="0" fontId="11" fillId="3" borderId="12" xfId="0" applyFont="1" applyFill="1" applyBorder="1" applyAlignment="1">
      <alignment horizontal="center" vertical="center" wrapText="1"/>
    </xf>
    <xf numFmtId="49" fontId="20" fillId="4" borderId="0" xfId="0" applyNumberFormat="1" applyFont="1" applyFill="1" applyAlignment="1">
      <alignment horizontal="left" vertical="center" wrapText="1" indent="1"/>
    </xf>
    <xf numFmtId="49" fontId="20" fillId="4" borderId="0" xfId="0" applyNumberFormat="1" applyFont="1" applyFill="1" applyAlignment="1">
      <alignment horizontal="center" vertical="center" wrapText="1"/>
    </xf>
    <xf numFmtId="0" fontId="14" fillId="3" borderId="8" xfId="0" applyFont="1" applyFill="1" applyBorder="1" applyAlignment="1">
      <alignment horizontal="left" vertical="top" wrapText="1"/>
    </xf>
    <xf numFmtId="0" fontId="14" fillId="3" borderId="0" xfId="0" applyFont="1" applyFill="1" applyAlignment="1">
      <alignment horizontal="left" vertical="top" wrapText="1"/>
    </xf>
    <xf numFmtId="0" fontId="23" fillId="6" borderId="1" xfId="0" applyFont="1" applyFill="1" applyBorder="1" applyAlignment="1">
      <alignment horizontal="left" vertical="center" wrapText="1"/>
    </xf>
    <xf numFmtId="0" fontId="23" fillId="6" borderId="2" xfId="0" applyFont="1" applyFill="1" applyBorder="1" applyAlignment="1">
      <alignment horizontal="left" vertical="center" wrapText="1"/>
    </xf>
    <xf numFmtId="0" fontId="23" fillId="6" borderId="3" xfId="0" applyFont="1" applyFill="1" applyBorder="1" applyAlignment="1">
      <alignment horizontal="left" vertical="center" wrapText="1"/>
    </xf>
    <xf numFmtId="0" fontId="23" fillId="6" borderId="8" xfId="0" applyFont="1" applyFill="1" applyBorder="1" applyAlignment="1">
      <alignment horizontal="left" vertical="center" wrapText="1"/>
    </xf>
    <xf numFmtId="0" fontId="23" fillId="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mruColors>
      <color rgb="FF00009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6" name="Imagem 5" descr="Logo_Interest_Horizontal">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5774" y="167409"/>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2" name="Imagem 1" descr="Logo_Interest_Horizontal">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9" y="165100"/>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2" name="Imagem 1" descr="Logo_Interest_Horizontal">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9" y="165100"/>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2" name="Imagem 1" descr="Logo_Interest_Horizontal">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9" y="165100"/>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10"/>
  <sheetViews>
    <sheetView tabSelected="1" zoomScaleNormal="100" workbookViewId="0">
      <selection activeCell="C6" sqref="C6"/>
    </sheetView>
  </sheetViews>
  <sheetFormatPr defaultColWidth="9.28515625" defaultRowHeight="12.75" x14ac:dyDescent="0.25"/>
  <cols>
    <col min="1" max="1" width="1.7109375" style="4" customWidth="1"/>
    <col min="2" max="2" width="19.7109375" style="4" customWidth="1"/>
    <col min="3" max="3" width="50.7109375" style="4" customWidth="1"/>
    <col min="4" max="6" width="17.28515625" style="4" customWidth="1"/>
    <col min="7" max="7" width="50.7109375" style="4" customWidth="1"/>
    <col min="8" max="8" width="29" style="4" customWidth="1"/>
    <col min="9" max="17" width="14.5703125" style="4" customWidth="1"/>
    <col min="18" max="18" width="12" style="4" customWidth="1"/>
    <col min="19" max="19" width="17.28515625" style="4" customWidth="1"/>
    <col min="20" max="20" width="11.42578125" style="4" customWidth="1"/>
    <col min="21" max="256" width="9.28515625" style="4"/>
    <col min="257" max="257" width="1.7109375" style="4" customWidth="1"/>
    <col min="258" max="258" width="19.7109375" style="4" customWidth="1"/>
    <col min="259" max="261" width="50.7109375" style="4" customWidth="1"/>
    <col min="262" max="262" width="1.42578125" style="4" customWidth="1"/>
    <col min="263" max="263" width="27.42578125" style="4" customWidth="1"/>
    <col min="264" max="264" width="29" style="4" customWidth="1"/>
    <col min="265" max="273" width="14.5703125" style="4" customWidth="1"/>
    <col min="274" max="274" width="12" style="4" customWidth="1"/>
    <col min="275" max="275" width="17.28515625" style="4" customWidth="1"/>
    <col min="276" max="276" width="11.42578125" style="4" customWidth="1"/>
    <col min="277" max="512" width="9.28515625" style="4"/>
    <col min="513" max="513" width="1.7109375" style="4" customWidth="1"/>
    <col min="514" max="514" width="19.7109375" style="4" customWidth="1"/>
    <col min="515" max="517" width="50.7109375" style="4" customWidth="1"/>
    <col min="518" max="518" width="1.42578125" style="4" customWidth="1"/>
    <col min="519" max="519" width="27.42578125" style="4" customWidth="1"/>
    <col min="520" max="520" width="29" style="4" customWidth="1"/>
    <col min="521" max="529" width="14.5703125" style="4" customWidth="1"/>
    <col min="530" max="530" width="12" style="4" customWidth="1"/>
    <col min="531" max="531" width="17.28515625" style="4" customWidth="1"/>
    <col min="532" max="532" width="11.42578125" style="4" customWidth="1"/>
    <col min="533" max="768" width="9.28515625" style="4"/>
    <col min="769" max="769" width="1.7109375" style="4" customWidth="1"/>
    <col min="770" max="770" width="19.7109375" style="4" customWidth="1"/>
    <col min="771" max="773" width="50.7109375" style="4" customWidth="1"/>
    <col min="774" max="774" width="1.42578125" style="4" customWidth="1"/>
    <col min="775" max="775" width="27.42578125" style="4" customWidth="1"/>
    <col min="776" max="776" width="29" style="4" customWidth="1"/>
    <col min="777" max="785" width="14.5703125" style="4" customWidth="1"/>
    <col min="786" max="786" width="12" style="4" customWidth="1"/>
    <col min="787" max="787" width="17.28515625" style="4" customWidth="1"/>
    <col min="788" max="788" width="11.42578125" style="4" customWidth="1"/>
    <col min="789" max="1024" width="9.28515625" style="4"/>
    <col min="1025" max="1025" width="1.7109375" style="4" customWidth="1"/>
    <col min="1026" max="1026" width="19.7109375" style="4" customWidth="1"/>
    <col min="1027" max="1029" width="50.7109375" style="4" customWidth="1"/>
    <col min="1030" max="1030" width="1.42578125" style="4" customWidth="1"/>
    <col min="1031" max="1031" width="27.42578125" style="4" customWidth="1"/>
    <col min="1032" max="1032" width="29" style="4" customWidth="1"/>
    <col min="1033" max="1041" width="14.5703125" style="4" customWidth="1"/>
    <col min="1042" max="1042" width="12" style="4" customWidth="1"/>
    <col min="1043" max="1043" width="17.28515625" style="4" customWidth="1"/>
    <col min="1044" max="1044" width="11.42578125" style="4" customWidth="1"/>
    <col min="1045" max="1280" width="9.28515625" style="4"/>
    <col min="1281" max="1281" width="1.7109375" style="4" customWidth="1"/>
    <col min="1282" max="1282" width="19.7109375" style="4" customWidth="1"/>
    <col min="1283" max="1285" width="50.7109375" style="4" customWidth="1"/>
    <col min="1286" max="1286" width="1.42578125" style="4" customWidth="1"/>
    <col min="1287" max="1287" width="27.42578125" style="4" customWidth="1"/>
    <col min="1288" max="1288" width="29" style="4" customWidth="1"/>
    <col min="1289" max="1297" width="14.5703125" style="4" customWidth="1"/>
    <col min="1298" max="1298" width="12" style="4" customWidth="1"/>
    <col min="1299" max="1299" width="17.28515625" style="4" customWidth="1"/>
    <col min="1300" max="1300" width="11.42578125" style="4" customWidth="1"/>
    <col min="1301" max="1536" width="9.28515625" style="4"/>
    <col min="1537" max="1537" width="1.7109375" style="4" customWidth="1"/>
    <col min="1538" max="1538" width="19.7109375" style="4" customWidth="1"/>
    <col min="1539" max="1541" width="50.7109375" style="4" customWidth="1"/>
    <col min="1542" max="1542" width="1.42578125" style="4" customWidth="1"/>
    <col min="1543" max="1543" width="27.42578125" style="4" customWidth="1"/>
    <col min="1544" max="1544" width="29" style="4" customWidth="1"/>
    <col min="1545" max="1553" width="14.5703125" style="4" customWidth="1"/>
    <col min="1554" max="1554" width="12" style="4" customWidth="1"/>
    <col min="1555" max="1555" width="17.28515625" style="4" customWidth="1"/>
    <col min="1556" max="1556" width="11.42578125" style="4" customWidth="1"/>
    <col min="1557" max="1792" width="9.28515625" style="4"/>
    <col min="1793" max="1793" width="1.7109375" style="4" customWidth="1"/>
    <col min="1794" max="1794" width="19.7109375" style="4" customWidth="1"/>
    <col min="1795" max="1797" width="50.7109375" style="4" customWidth="1"/>
    <col min="1798" max="1798" width="1.42578125" style="4" customWidth="1"/>
    <col min="1799" max="1799" width="27.42578125" style="4" customWidth="1"/>
    <col min="1800" max="1800" width="29" style="4" customWidth="1"/>
    <col min="1801" max="1809" width="14.5703125" style="4" customWidth="1"/>
    <col min="1810" max="1810" width="12" style="4" customWidth="1"/>
    <col min="1811" max="1811" width="17.28515625" style="4" customWidth="1"/>
    <col min="1812" max="1812" width="11.42578125" style="4" customWidth="1"/>
    <col min="1813" max="2048" width="9.28515625" style="4"/>
    <col min="2049" max="2049" width="1.7109375" style="4" customWidth="1"/>
    <col min="2050" max="2050" width="19.7109375" style="4" customWidth="1"/>
    <col min="2051" max="2053" width="50.7109375" style="4" customWidth="1"/>
    <col min="2054" max="2054" width="1.42578125" style="4" customWidth="1"/>
    <col min="2055" max="2055" width="27.42578125" style="4" customWidth="1"/>
    <col min="2056" max="2056" width="29" style="4" customWidth="1"/>
    <col min="2057" max="2065" width="14.5703125" style="4" customWidth="1"/>
    <col min="2066" max="2066" width="12" style="4" customWidth="1"/>
    <col min="2067" max="2067" width="17.28515625" style="4" customWidth="1"/>
    <col min="2068" max="2068" width="11.42578125" style="4" customWidth="1"/>
    <col min="2069" max="2304" width="9.28515625" style="4"/>
    <col min="2305" max="2305" width="1.7109375" style="4" customWidth="1"/>
    <col min="2306" max="2306" width="19.7109375" style="4" customWidth="1"/>
    <col min="2307" max="2309" width="50.7109375" style="4" customWidth="1"/>
    <col min="2310" max="2310" width="1.42578125" style="4" customWidth="1"/>
    <col min="2311" max="2311" width="27.42578125" style="4" customWidth="1"/>
    <col min="2312" max="2312" width="29" style="4" customWidth="1"/>
    <col min="2313" max="2321" width="14.5703125" style="4" customWidth="1"/>
    <col min="2322" max="2322" width="12" style="4" customWidth="1"/>
    <col min="2323" max="2323" width="17.28515625" style="4" customWidth="1"/>
    <col min="2324" max="2324" width="11.42578125" style="4" customWidth="1"/>
    <col min="2325" max="2560" width="9.28515625" style="4"/>
    <col min="2561" max="2561" width="1.7109375" style="4" customWidth="1"/>
    <col min="2562" max="2562" width="19.7109375" style="4" customWidth="1"/>
    <col min="2563" max="2565" width="50.7109375" style="4" customWidth="1"/>
    <col min="2566" max="2566" width="1.42578125" style="4" customWidth="1"/>
    <col min="2567" max="2567" width="27.42578125" style="4" customWidth="1"/>
    <col min="2568" max="2568" width="29" style="4" customWidth="1"/>
    <col min="2569" max="2577" width="14.5703125" style="4" customWidth="1"/>
    <col min="2578" max="2578" width="12" style="4" customWidth="1"/>
    <col min="2579" max="2579" width="17.28515625" style="4" customWidth="1"/>
    <col min="2580" max="2580" width="11.42578125" style="4" customWidth="1"/>
    <col min="2581" max="2816" width="9.28515625" style="4"/>
    <col min="2817" max="2817" width="1.7109375" style="4" customWidth="1"/>
    <col min="2818" max="2818" width="19.7109375" style="4" customWidth="1"/>
    <col min="2819" max="2821" width="50.7109375" style="4" customWidth="1"/>
    <col min="2822" max="2822" width="1.42578125" style="4" customWidth="1"/>
    <col min="2823" max="2823" width="27.42578125" style="4" customWidth="1"/>
    <col min="2824" max="2824" width="29" style="4" customWidth="1"/>
    <col min="2825" max="2833" width="14.5703125" style="4" customWidth="1"/>
    <col min="2834" max="2834" width="12" style="4" customWidth="1"/>
    <col min="2835" max="2835" width="17.28515625" style="4" customWidth="1"/>
    <col min="2836" max="2836" width="11.42578125" style="4" customWidth="1"/>
    <col min="2837" max="3072" width="9.28515625" style="4"/>
    <col min="3073" max="3073" width="1.7109375" style="4" customWidth="1"/>
    <col min="3074" max="3074" width="19.7109375" style="4" customWidth="1"/>
    <col min="3075" max="3077" width="50.7109375" style="4" customWidth="1"/>
    <col min="3078" max="3078" width="1.42578125" style="4" customWidth="1"/>
    <col min="3079" max="3079" width="27.42578125" style="4" customWidth="1"/>
    <col min="3080" max="3080" width="29" style="4" customWidth="1"/>
    <col min="3081" max="3089" width="14.5703125" style="4" customWidth="1"/>
    <col min="3090" max="3090" width="12" style="4" customWidth="1"/>
    <col min="3091" max="3091" width="17.28515625" style="4" customWidth="1"/>
    <col min="3092" max="3092" width="11.42578125" style="4" customWidth="1"/>
    <col min="3093" max="3328" width="9.28515625" style="4"/>
    <col min="3329" max="3329" width="1.7109375" style="4" customWidth="1"/>
    <col min="3330" max="3330" width="19.7109375" style="4" customWidth="1"/>
    <col min="3331" max="3333" width="50.7109375" style="4" customWidth="1"/>
    <col min="3334" max="3334" width="1.42578125" style="4" customWidth="1"/>
    <col min="3335" max="3335" width="27.42578125" style="4" customWidth="1"/>
    <col min="3336" max="3336" width="29" style="4" customWidth="1"/>
    <col min="3337" max="3345" width="14.5703125" style="4" customWidth="1"/>
    <col min="3346" max="3346" width="12" style="4" customWidth="1"/>
    <col min="3347" max="3347" width="17.28515625" style="4" customWidth="1"/>
    <col min="3348" max="3348" width="11.42578125" style="4" customWidth="1"/>
    <col min="3349" max="3584" width="9.28515625" style="4"/>
    <col min="3585" max="3585" width="1.7109375" style="4" customWidth="1"/>
    <col min="3586" max="3586" width="19.7109375" style="4" customWidth="1"/>
    <col min="3587" max="3589" width="50.7109375" style="4" customWidth="1"/>
    <col min="3590" max="3590" width="1.42578125" style="4" customWidth="1"/>
    <col min="3591" max="3591" width="27.42578125" style="4" customWidth="1"/>
    <col min="3592" max="3592" width="29" style="4" customWidth="1"/>
    <col min="3593" max="3601" width="14.5703125" style="4" customWidth="1"/>
    <col min="3602" max="3602" width="12" style="4" customWidth="1"/>
    <col min="3603" max="3603" width="17.28515625" style="4" customWidth="1"/>
    <col min="3604" max="3604" width="11.42578125" style="4" customWidth="1"/>
    <col min="3605" max="3840" width="9.28515625" style="4"/>
    <col min="3841" max="3841" width="1.7109375" style="4" customWidth="1"/>
    <col min="3842" max="3842" width="19.7109375" style="4" customWidth="1"/>
    <col min="3843" max="3845" width="50.7109375" style="4" customWidth="1"/>
    <col min="3846" max="3846" width="1.42578125" style="4" customWidth="1"/>
    <col min="3847" max="3847" width="27.42578125" style="4" customWidth="1"/>
    <col min="3848" max="3848" width="29" style="4" customWidth="1"/>
    <col min="3849" max="3857" width="14.5703125" style="4" customWidth="1"/>
    <col min="3858" max="3858" width="12" style="4" customWidth="1"/>
    <col min="3859" max="3859" width="17.28515625" style="4" customWidth="1"/>
    <col min="3860" max="3860" width="11.42578125" style="4" customWidth="1"/>
    <col min="3861" max="4096" width="9.28515625" style="4"/>
    <col min="4097" max="4097" width="1.7109375" style="4" customWidth="1"/>
    <col min="4098" max="4098" width="19.7109375" style="4" customWidth="1"/>
    <col min="4099" max="4101" width="50.7109375" style="4" customWidth="1"/>
    <col min="4102" max="4102" width="1.42578125" style="4" customWidth="1"/>
    <col min="4103" max="4103" width="27.42578125" style="4" customWidth="1"/>
    <col min="4104" max="4104" width="29" style="4" customWidth="1"/>
    <col min="4105" max="4113" width="14.5703125" style="4" customWidth="1"/>
    <col min="4114" max="4114" width="12" style="4" customWidth="1"/>
    <col min="4115" max="4115" width="17.28515625" style="4" customWidth="1"/>
    <col min="4116" max="4116" width="11.42578125" style="4" customWidth="1"/>
    <col min="4117" max="4352" width="9.28515625" style="4"/>
    <col min="4353" max="4353" width="1.7109375" style="4" customWidth="1"/>
    <col min="4354" max="4354" width="19.7109375" style="4" customWidth="1"/>
    <col min="4355" max="4357" width="50.7109375" style="4" customWidth="1"/>
    <col min="4358" max="4358" width="1.42578125" style="4" customWidth="1"/>
    <col min="4359" max="4359" width="27.42578125" style="4" customWidth="1"/>
    <col min="4360" max="4360" width="29" style="4" customWidth="1"/>
    <col min="4361" max="4369" width="14.5703125" style="4" customWidth="1"/>
    <col min="4370" max="4370" width="12" style="4" customWidth="1"/>
    <col min="4371" max="4371" width="17.28515625" style="4" customWidth="1"/>
    <col min="4372" max="4372" width="11.42578125" style="4" customWidth="1"/>
    <col min="4373" max="4608" width="9.28515625" style="4"/>
    <col min="4609" max="4609" width="1.7109375" style="4" customWidth="1"/>
    <col min="4610" max="4610" width="19.7109375" style="4" customWidth="1"/>
    <col min="4611" max="4613" width="50.7109375" style="4" customWidth="1"/>
    <col min="4614" max="4614" width="1.42578125" style="4" customWidth="1"/>
    <col min="4615" max="4615" width="27.42578125" style="4" customWidth="1"/>
    <col min="4616" max="4616" width="29" style="4" customWidth="1"/>
    <col min="4617" max="4625" width="14.5703125" style="4" customWidth="1"/>
    <col min="4626" max="4626" width="12" style="4" customWidth="1"/>
    <col min="4627" max="4627" width="17.28515625" style="4" customWidth="1"/>
    <col min="4628" max="4628" width="11.42578125" style="4" customWidth="1"/>
    <col min="4629" max="4864" width="9.28515625" style="4"/>
    <col min="4865" max="4865" width="1.7109375" style="4" customWidth="1"/>
    <col min="4866" max="4866" width="19.7109375" style="4" customWidth="1"/>
    <col min="4867" max="4869" width="50.7109375" style="4" customWidth="1"/>
    <col min="4870" max="4870" width="1.42578125" style="4" customWidth="1"/>
    <col min="4871" max="4871" width="27.42578125" style="4" customWidth="1"/>
    <col min="4872" max="4872" width="29" style="4" customWidth="1"/>
    <col min="4873" max="4881" width="14.5703125" style="4" customWidth="1"/>
    <col min="4882" max="4882" width="12" style="4" customWidth="1"/>
    <col min="4883" max="4883" width="17.28515625" style="4" customWidth="1"/>
    <col min="4884" max="4884" width="11.42578125" style="4" customWidth="1"/>
    <col min="4885" max="5120" width="9.28515625" style="4"/>
    <col min="5121" max="5121" width="1.7109375" style="4" customWidth="1"/>
    <col min="5122" max="5122" width="19.7109375" style="4" customWidth="1"/>
    <col min="5123" max="5125" width="50.7109375" style="4" customWidth="1"/>
    <col min="5126" max="5126" width="1.42578125" style="4" customWidth="1"/>
    <col min="5127" max="5127" width="27.42578125" style="4" customWidth="1"/>
    <col min="5128" max="5128" width="29" style="4" customWidth="1"/>
    <col min="5129" max="5137" width="14.5703125" style="4" customWidth="1"/>
    <col min="5138" max="5138" width="12" style="4" customWidth="1"/>
    <col min="5139" max="5139" width="17.28515625" style="4" customWidth="1"/>
    <col min="5140" max="5140" width="11.42578125" style="4" customWidth="1"/>
    <col min="5141" max="5376" width="9.28515625" style="4"/>
    <col min="5377" max="5377" width="1.7109375" style="4" customWidth="1"/>
    <col min="5378" max="5378" width="19.7109375" style="4" customWidth="1"/>
    <col min="5379" max="5381" width="50.7109375" style="4" customWidth="1"/>
    <col min="5382" max="5382" width="1.42578125" style="4" customWidth="1"/>
    <col min="5383" max="5383" width="27.42578125" style="4" customWidth="1"/>
    <col min="5384" max="5384" width="29" style="4" customWidth="1"/>
    <col min="5385" max="5393" width="14.5703125" style="4" customWidth="1"/>
    <col min="5394" max="5394" width="12" style="4" customWidth="1"/>
    <col min="5395" max="5395" width="17.28515625" style="4" customWidth="1"/>
    <col min="5396" max="5396" width="11.42578125" style="4" customWidth="1"/>
    <col min="5397" max="5632" width="9.28515625" style="4"/>
    <col min="5633" max="5633" width="1.7109375" style="4" customWidth="1"/>
    <col min="5634" max="5634" width="19.7109375" style="4" customWidth="1"/>
    <col min="5635" max="5637" width="50.7109375" style="4" customWidth="1"/>
    <col min="5638" max="5638" width="1.42578125" style="4" customWidth="1"/>
    <col min="5639" max="5639" width="27.42578125" style="4" customWidth="1"/>
    <col min="5640" max="5640" width="29" style="4" customWidth="1"/>
    <col min="5641" max="5649" width="14.5703125" style="4" customWidth="1"/>
    <col min="5650" max="5650" width="12" style="4" customWidth="1"/>
    <col min="5651" max="5651" width="17.28515625" style="4" customWidth="1"/>
    <col min="5652" max="5652" width="11.42578125" style="4" customWidth="1"/>
    <col min="5653" max="5888" width="9.28515625" style="4"/>
    <col min="5889" max="5889" width="1.7109375" style="4" customWidth="1"/>
    <col min="5890" max="5890" width="19.7109375" style="4" customWidth="1"/>
    <col min="5891" max="5893" width="50.7109375" style="4" customWidth="1"/>
    <col min="5894" max="5894" width="1.42578125" style="4" customWidth="1"/>
    <col min="5895" max="5895" width="27.42578125" style="4" customWidth="1"/>
    <col min="5896" max="5896" width="29" style="4" customWidth="1"/>
    <col min="5897" max="5905" width="14.5703125" style="4" customWidth="1"/>
    <col min="5906" max="5906" width="12" style="4" customWidth="1"/>
    <col min="5907" max="5907" width="17.28515625" style="4" customWidth="1"/>
    <col min="5908" max="5908" width="11.42578125" style="4" customWidth="1"/>
    <col min="5909" max="6144" width="9.28515625" style="4"/>
    <col min="6145" max="6145" width="1.7109375" style="4" customWidth="1"/>
    <col min="6146" max="6146" width="19.7109375" style="4" customWidth="1"/>
    <col min="6147" max="6149" width="50.7109375" style="4" customWidth="1"/>
    <col min="6150" max="6150" width="1.42578125" style="4" customWidth="1"/>
    <col min="6151" max="6151" width="27.42578125" style="4" customWidth="1"/>
    <col min="6152" max="6152" width="29" style="4" customWidth="1"/>
    <col min="6153" max="6161" width="14.5703125" style="4" customWidth="1"/>
    <col min="6162" max="6162" width="12" style="4" customWidth="1"/>
    <col min="6163" max="6163" width="17.28515625" style="4" customWidth="1"/>
    <col min="6164" max="6164" width="11.42578125" style="4" customWidth="1"/>
    <col min="6165" max="6400" width="9.28515625" style="4"/>
    <col min="6401" max="6401" width="1.7109375" style="4" customWidth="1"/>
    <col min="6402" max="6402" width="19.7109375" style="4" customWidth="1"/>
    <col min="6403" max="6405" width="50.7109375" style="4" customWidth="1"/>
    <col min="6406" max="6406" width="1.42578125" style="4" customWidth="1"/>
    <col min="6407" max="6407" width="27.42578125" style="4" customWidth="1"/>
    <col min="6408" max="6408" width="29" style="4" customWidth="1"/>
    <col min="6409" max="6417" width="14.5703125" style="4" customWidth="1"/>
    <col min="6418" max="6418" width="12" style="4" customWidth="1"/>
    <col min="6419" max="6419" width="17.28515625" style="4" customWidth="1"/>
    <col min="6420" max="6420" width="11.42578125" style="4" customWidth="1"/>
    <col min="6421" max="6656" width="9.28515625" style="4"/>
    <col min="6657" max="6657" width="1.7109375" style="4" customWidth="1"/>
    <col min="6658" max="6658" width="19.7109375" style="4" customWidth="1"/>
    <col min="6659" max="6661" width="50.7109375" style="4" customWidth="1"/>
    <col min="6662" max="6662" width="1.42578125" style="4" customWidth="1"/>
    <col min="6663" max="6663" width="27.42578125" style="4" customWidth="1"/>
    <col min="6664" max="6664" width="29" style="4" customWidth="1"/>
    <col min="6665" max="6673" width="14.5703125" style="4" customWidth="1"/>
    <col min="6674" max="6674" width="12" style="4" customWidth="1"/>
    <col min="6675" max="6675" width="17.28515625" style="4" customWidth="1"/>
    <col min="6676" max="6676" width="11.42578125" style="4" customWidth="1"/>
    <col min="6677" max="6912" width="9.28515625" style="4"/>
    <col min="6913" max="6913" width="1.7109375" style="4" customWidth="1"/>
    <col min="6914" max="6914" width="19.7109375" style="4" customWidth="1"/>
    <col min="6915" max="6917" width="50.7109375" style="4" customWidth="1"/>
    <col min="6918" max="6918" width="1.42578125" style="4" customWidth="1"/>
    <col min="6919" max="6919" width="27.42578125" style="4" customWidth="1"/>
    <col min="6920" max="6920" width="29" style="4" customWidth="1"/>
    <col min="6921" max="6929" width="14.5703125" style="4" customWidth="1"/>
    <col min="6930" max="6930" width="12" style="4" customWidth="1"/>
    <col min="6931" max="6931" width="17.28515625" style="4" customWidth="1"/>
    <col min="6932" max="6932" width="11.42578125" style="4" customWidth="1"/>
    <col min="6933" max="7168" width="9.28515625" style="4"/>
    <col min="7169" max="7169" width="1.7109375" style="4" customWidth="1"/>
    <col min="7170" max="7170" width="19.7109375" style="4" customWidth="1"/>
    <col min="7171" max="7173" width="50.7109375" style="4" customWidth="1"/>
    <col min="7174" max="7174" width="1.42578125" style="4" customWidth="1"/>
    <col min="7175" max="7175" width="27.42578125" style="4" customWidth="1"/>
    <col min="7176" max="7176" width="29" style="4" customWidth="1"/>
    <col min="7177" max="7185" width="14.5703125" style="4" customWidth="1"/>
    <col min="7186" max="7186" width="12" style="4" customWidth="1"/>
    <col min="7187" max="7187" width="17.28515625" style="4" customWidth="1"/>
    <col min="7188" max="7188" width="11.42578125" style="4" customWidth="1"/>
    <col min="7189" max="7424" width="9.28515625" style="4"/>
    <col min="7425" max="7425" width="1.7109375" style="4" customWidth="1"/>
    <col min="7426" max="7426" width="19.7109375" style="4" customWidth="1"/>
    <col min="7427" max="7429" width="50.7109375" style="4" customWidth="1"/>
    <col min="7430" max="7430" width="1.42578125" style="4" customWidth="1"/>
    <col min="7431" max="7431" width="27.42578125" style="4" customWidth="1"/>
    <col min="7432" max="7432" width="29" style="4" customWidth="1"/>
    <col min="7433" max="7441" width="14.5703125" style="4" customWidth="1"/>
    <col min="7442" max="7442" width="12" style="4" customWidth="1"/>
    <col min="7443" max="7443" width="17.28515625" style="4" customWidth="1"/>
    <col min="7444" max="7444" width="11.42578125" style="4" customWidth="1"/>
    <col min="7445" max="7680" width="9.28515625" style="4"/>
    <col min="7681" max="7681" width="1.7109375" style="4" customWidth="1"/>
    <col min="7682" max="7682" width="19.7109375" style="4" customWidth="1"/>
    <col min="7683" max="7685" width="50.7109375" style="4" customWidth="1"/>
    <col min="7686" max="7686" width="1.42578125" style="4" customWidth="1"/>
    <col min="7687" max="7687" width="27.42578125" style="4" customWidth="1"/>
    <col min="7688" max="7688" width="29" style="4" customWidth="1"/>
    <col min="7689" max="7697" width="14.5703125" style="4" customWidth="1"/>
    <col min="7698" max="7698" width="12" style="4" customWidth="1"/>
    <col min="7699" max="7699" width="17.28515625" style="4" customWidth="1"/>
    <col min="7700" max="7700" width="11.42578125" style="4" customWidth="1"/>
    <col min="7701" max="7936" width="9.28515625" style="4"/>
    <col min="7937" max="7937" width="1.7109375" style="4" customWidth="1"/>
    <col min="7938" max="7938" width="19.7109375" style="4" customWidth="1"/>
    <col min="7939" max="7941" width="50.7109375" style="4" customWidth="1"/>
    <col min="7942" max="7942" width="1.42578125" style="4" customWidth="1"/>
    <col min="7943" max="7943" width="27.42578125" style="4" customWidth="1"/>
    <col min="7944" max="7944" width="29" style="4" customWidth="1"/>
    <col min="7945" max="7953" width="14.5703125" style="4" customWidth="1"/>
    <col min="7954" max="7954" width="12" style="4" customWidth="1"/>
    <col min="7955" max="7955" width="17.28515625" style="4" customWidth="1"/>
    <col min="7956" max="7956" width="11.42578125" style="4" customWidth="1"/>
    <col min="7957" max="8192" width="9.28515625" style="4"/>
    <col min="8193" max="8193" width="1.7109375" style="4" customWidth="1"/>
    <col min="8194" max="8194" width="19.7109375" style="4" customWidth="1"/>
    <col min="8195" max="8197" width="50.7109375" style="4" customWidth="1"/>
    <col min="8198" max="8198" width="1.42578125" style="4" customWidth="1"/>
    <col min="8199" max="8199" width="27.42578125" style="4" customWidth="1"/>
    <col min="8200" max="8200" width="29" style="4" customWidth="1"/>
    <col min="8201" max="8209" width="14.5703125" style="4" customWidth="1"/>
    <col min="8210" max="8210" width="12" style="4" customWidth="1"/>
    <col min="8211" max="8211" width="17.28515625" style="4" customWidth="1"/>
    <col min="8212" max="8212" width="11.42578125" style="4" customWidth="1"/>
    <col min="8213" max="8448" width="9.28515625" style="4"/>
    <col min="8449" max="8449" width="1.7109375" style="4" customWidth="1"/>
    <col min="8450" max="8450" width="19.7109375" style="4" customWidth="1"/>
    <col min="8451" max="8453" width="50.7109375" style="4" customWidth="1"/>
    <col min="8454" max="8454" width="1.42578125" style="4" customWidth="1"/>
    <col min="8455" max="8455" width="27.42578125" style="4" customWidth="1"/>
    <col min="8456" max="8456" width="29" style="4" customWidth="1"/>
    <col min="8457" max="8465" width="14.5703125" style="4" customWidth="1"/>
    <col min="8466" max="8466" width="12" style="4" customWidth="1"/>
    <col min="8467" max="8467" width="17.28515625" style="4" customWidth="1"/>
    <col min="8468" max="8468" width="11.42578125" style="4" customWidth="1"/>
    <col min="8469" max="8704" width="9.28515625" style="4"/>
    <col min="8705" max="8705" width="1.7109375" style="4" customWidth="1"/>
    <col min="8706" max="8706" width="19.7109375" style="4" customWidth="1"/>
    <col min="8707" max="8709" width="50.7109375" style="4" customWidth="1"/>
    <col min="8710" max="8710" width="1.42578125" style="4" customWidth="1"/>
    <col min="8711" max="8711" width="27.42578125" style="4" customWidth="1"/>
    <col min="8712" max="8712" width="29" style="4" customWidth="1"/>
    <col min="8713" max="8721" width="14.5703125" style="4" customWidth="1"/>
    <col min="8722" max="8722" width="12" style="4" customWidth="1"/>
    <col min="8723" max="8723" width="17.28515625" style="4" customWidth="1"/>
    <col min="8724" max="8724" width="11.42578125" style="4" customWidth="1"/>
    <col min="8725" max="8960" width="9.28515625" style="4"/>
    <col min="8961" max="8961" width="1.7109375" style="4" customWidth="1"/>
    <col min="8962" max="8962" width="19.7109375" style="4" customWidth="1"/>
    <col min="8963" max="8965" width="50.7109375" style="4" customWidth="1"/>
    <col min="8966" max="8966" width="1.42578125" style="4" customWidth="1"/>
    <col min="8967" max="8967" width="27.42578125" style="4" customWidth="1"/>
    <col min="8968" max="8968" width="29" style="4" customWidth="1"/>
    <col min="8969" max="8977" width="14.5703125" style="4" customWidth="1"/>
    <col min="8978" max="8978" width="12" style="4" customWidth="1"/>
    <col min="8979" max="8979" width="17.28515625" style="4" customWidth="1"/>
    <col min="8980" max="8980" width="11.42578125" style="4" customWidth="1"/>
    <col min="8981" max="9216" width="9.28515625" style="4"/>
    <col min="9217" max="9217" width="1.7109375" style="4" customWidth="1"/>
    <col min="9218" max="9218" width="19.7109375" style="4" customWidth="1"/>
    <col min="9219" max="9221" width="50.7109375" style="4" customWidth="1"/>
    <col min="9222" max="9222" width="1.42578125" style="4" customWidth="1"/>
    <col min="9223" max="9223" width="27.42578125" style="4" customWidth="1"/>
    <col min="9224" max="9224" width="29" style="4" customWidth="1"/>
    <col min="9225" max="9233" width="14.5703125" style="4" customWidth="1"/>
    <col min="9234" max="9234" width="12" style="4" customWidth="1"/>
    <col min="9235" max="9235" width="17.28515625" style="4" customWidth="1"/>
    <col min="9236" max="9236" width="11.42578125" style="4" customWidth="1"/>
    <col min="9237" max="9472" width="9.28515625" style="4"/>
    <col min="9473" max="9473" width="1.7109375" style="4" customWidth="1"/>
    <col min="9474" max="9474" width="19.7109375" style="4" customWidth="1"/>
    <col min="9475" max="9477" width="50.7109375" style="4" customWidth="1"/>
    <col min="9478" max="9478" width="1.42578125" style="4" customWidth="1"/>
    <col min="9479" max="9479" width="27.42578125" style="4" customWidth="1"/>
    <col min="9480" max="9480" width="29" style="4" customWidth="1"/>
    <col min="9481" max="9489" width="14.5703125" style="4" customWidth="1"/>
    <col min="9490" max="9490" width="12" style="4" customWidth="1"/>
    <col min="9491" max="9491" width="17.28515625" style="4" customWidth="1"/>
    <col min="9492" max="9492" width="11.42578125" style="4" customWidth="1"/>
    <col min="9493" max="9728" width="9.28515625" style="4"/>
    <col min="9729" max="9729" width="1.7109375" style="4" customWidth="1"/>
    <col min="9730" max="9730" width="19.7109375" style="4" customWidth="1"/>
    <col min="9731" max="9733" width="50.7109375" style="4" customWidth="1"/>
    <col min="9734" max="9734" width="1.42578125" style="4" customWidth="1"/>
    <col min="9735" max="9735" width="27.42578125" style="4" customWidth="1"/>
    <col min="9736" max="9736" width="29" style="4" customWidth="1"/>
    <col min="9737" max="9745" width="14.5703125" style="4" customWidth="1"/>
    <col min="9746" max="9746" width="12" style="4" customWidth="1"/>
    <col min="9747" max="9747" width="17.28515625" style="4" customWidth="1"/>
    <col min="9748" max="9748" width="11.42578125" style="4" customWidth="1"/>
    <col min="9749" max="9984" width="9.28515625" style="4"/>
    <col min="9985" max="9985" width="1.7109375" style="4" customWidth="1"/>
    <col min="9986" max="9986" width="19.7109375" style="4" customWidth="1"/>
    <col min="9987" max="9989" width="50.7109375" style="4" customWidth="1"/>
    <col min="9990" max="9990" width="1.42578125" style="4" customWidth="1"/>
    <col min="9991" max="9991" width="27.42578125" style="4" customWidth="1"/>
    <col min="9992" max="9992" width="29" style="4" customWidth="1"/>
    <col min="9993" max="10001" width="14.5703125" style="4" customWidth="1"/>
    <col min="10002" max="10002" width="12" style="4" customWidth="1"/>
    <col min="10003" max="10003" width="17.28515625" style="4" customWidth="1"/>
    <col min="10004" max="10004" width="11.42578125" style="4" customWidth="1"/>
    <col min="10005" max="10240" width="9.28515625" style="4"/>
    <col min="10241" max="10241" width="1.7109375" style="4" customWidth="1"/>
    <col min="10242" max="10242" width="19.7109375" style="4" customWidth="1"/>
    <col min="10243" max="10245" width="50.7109375" style="4" customWidth="1"/>
    <col min="10246" max="10246" width="1.42578125" style="4" customWidth="1"/>
    <col min="10247" max="10247" width="27.42578125" style="4" customWidth="1"/>
    <col min="10248" max="10248" width="29" style="4" customWidth="1"/>
    <col min="10249" max="10257" width="14.5703125" style="4" customWidth="1"/>
    <col min="10258" max="10258" width="12" style="4" customWidth="1"/>
    <col min="10259" max="10259" width="17.28515625" style="4" customWidth="1"/>
    <col min="10260" max="10260" width="11.42578125" style="4" customWidth="1"/>
    <col min="10261" max="10496" width="9.28515625" style="4"/>
    <col min="10497" max="10497" width="1.7109375" style="4" customWidth="1"/>
    <col min="10498" max="10498" width="19.7109375" style="4" customWidth="1"/>
    <col min="10499" max="10501" width="50.7109375" style="4" customWidth="1"/>
    <col min="10502" max="10502" width="1.42578125" style="4" customWidth="1"/>
    <col min="10503" max="10503" width="27.42578125" style="4" customWidth="1"/>
    <col min="10504" max="10504" width="29" style="4" customWidth="1"/>
    <col min="10505" max="10513" width="14.5703125" style="4" customWidth="1"/>
    <col min="10514" max="10514" width="12" style="4" customWidth="1"/>
    <col min="10515" max="10515" width="17.28515625" style="4" customWidth="1"/>
    <col min="10516" max="10516" width="11.42578125" style="4" customWidth="1"/>
    <col min="10517" max="10752" width="9.28515625" style="4"/>
    <col min="10753" max="10753" width="1.7109375" style="4" customWidth="1"/>
    <col min="10754" max="10754" width="19.7109375" style="4" customWidth="1"/>
    <col min="10755" max="10757" width="50.7109375" style="4" customWidth="1"/>
    <col min="10758" max="10758" width="1.42578125" style="4" customWidth="1"/>
    <col min="10759" max="10759" width="27.42578125" style="4" customWidth="1"/>
    <col min="10760" max="10760" width="29" style="4" customWidth="1"/>
    <col min="10761" max="10769" width="14.5703125" style="4" customWidth="1"/>
    <col min="10770" max="10770" width="12" style="4" customWidth="1"/>
    <col min="10771" max="10771" width="17.28515625" style="4" customWidth="1"/>
    <col min="10772" max="10772" width="11.42578125" style="4" customWidth="1"/>
    <col min="10773" max="11008" width="9.28515625" style="4"/>
    <col min="11009" max="11009" width="1.7109375" style="4" customWidth="1"/>
    <col min="11010" max="11010" width="19.7109375" style="4" customWidth="1"/>
    <col min="11011" max="11013" width="50.7109375" style="4" customWidth="1"/>
    <col min="11014" max="11014" width="1.42578125" style="4" customWidth="1"/>
    <col min="11015" max="11015" width="27.42578125" style="4" customWidth="1"/>
    <col min="11016" max="11016" width="29" style="4" customWidth="1"/>
    <col min="11017" max="11025" width="14.5703125" style="4" customWidth="1"/>
    <col min="11026" max="11026" width="12" style="4" customWidth="1"/>
    <col min="11027" max="11027" width="17.28515625" style="4" customWidth="1"/>
    <col min="11028" max="11028" width="11.42578125" style="4" customWidth="1"/>
    <col min="11029" max="11264" width="9.28515625" style="4"/>
    <col min="11265" max="11265" width="1.7109375" style="4" customWidth="1"/>
    <col min="11266" max="11266" width="19.7109375" style="4" customWidth="1"/>
    <col min="11267" max="11269" width="50.7109375" style="4" customWidth="1"/>
    <col min="11270" max="11270" width="1.42578125" style="4" customWidth="1"/>
    <col min="11271" max="11271" width="27.42578125" style="4" customWidth="1"/>
    <col min="11272" max="11272" width="29" style="4" customWidth="1"/>
    <col min="11273" max="11281" width="14.5703125" style="4" customWidth="1"/>
    <col min="11282" max="11282" width="12" style="4" customWidth="1"/>
    <col min="11283" max="11283" width="17.28515625" style="4" customWidth="1"/>
    <col min="11284" max="11284" width="11.42578125" style="4" customWidth="1"/>
    <col min="11285" max="11520" width="9.28515625" style="4"/>
    <col min="11521" max="11521" width="1.7109375" style="4" customWidth="1"/>
    <col min="11522" max="11522" width="19.7109375" style="4" customWidth="1"/>
    <col min="11523" max="11525" width="50.7109375" style="4" customWidth="1"/>
    <col min="11526" max="11526" width="1.42578125" style="4" customWidth="1"/>
    <col min="11527" max="11527" width="27.42578125" style="4" customWidth="1"/>
    <col min="11528" max="11528" width="29" style="4" customWidth="1"/>
    <col min="11529" max="11537" width="14.5703125" style="4" customWidth="1"/>
    <col min="11538" max="11538" width="12" style="4" customWidth="1"/>
    <col min="11539" max="11539" width="17.28515625" style="4" customWidth="1"/>
    <col min="11540" max="11540" width="11.42578125" style="4" customWidth="1"/>
    <col min="11541" max="11776" width="9.28515625" style="4"/>
    <col min="11777" max="11777" width="1.7109375" style="4" customWidth="1"/>
    <col min="11778" max="11778" width="19.7109375" style="4" customWidth="1"/>
    <col min="11779" max="11781" width="50.7109375" style="4" customWidth="1"/>
    <col min="11782" max="11782" width="1.42578125" style="4" customWidth="1"/>
    <col min="11783" max="11783" width="27.42578125" style="4" customWidth="1"/>
    <col min="11784" max="11784" width="29" style="4" customWidth="1"/>
    <col min="11785" max="11793" width="14.5703125" style="4" customWidth="1"/>
    <col min="11794" max="11794" width="12" style="4" customWidth="1"/>
    <col min="11795" max="11795" width="17.28515625" style="4" customWidth="1"/>
    <col min="11796" max="11796" width="11.42578125" style="4" customWidth="1"/>
    <col min="11797" max="12032" width="9.28515625" style="4"/>
    <col min="12033" max="12033" width="1.7109375" style="4" customWidth="1"/>
    <col min="12034" max="12034" width="19.7109375" style="4" customWidth="1"/>
    <col min="12035" max="12037" width="50.7109375" style="4" customWidth="1"/>
    <col min="12038" max="12038" width="1.42578125" style="4" customWidth="1"/>
    <col min="12039" max="12039" width="27.42578125" style="4" customWidth="1"/>
    <col min="12040" max="12040" width="29" style="4" customWidth="1"/>
    <col min="12041" max="12049" width="14.5703125" style="4" customWidth="1"/>
    <col min="12050" max="12050" width="12" style="4" customWidth="1"/>
    <col min="12051" max="12051" width="17.28515625" style="4" customWidth="1"/>
    <col min="12052" max="12052" width="11.42578125" style="4" customWidth="1"/>
    <col min="12053" max="12288" width="9.28515625" style="4"/>
    <col min="12289" max="12289" width="1.7109375" style="4" customWidth="1"/>
    <col min="12290" max="12290" width="19.7109375" style="4" customWidth="1"/>
    <col min="12291" max="12293" width="50.7109375" style="4" customWidth="1"/>
    <col min="12294" max="12294" width="1.42578125" style="4" customWidth="1"/>
    <col min="12295" max="12295" width="27.42578125" style="4" customWidth="1"/>
    <col min="12296" max="12296" width="29" style="4" customWidth="1"/>
    <col min="12297" max="12305" width="14.5703125" style="4" customWidth="1"/>
    <col min="12306" max="12306" width="12" style="4" customWidth="1"/>
    <col min="12307" max="12307" width="17.28515625" style="4" customWidth="1"/>
    <col min="12308" max="12308" width="11.42578125" style="4" customWidth="1"/>
    <col min="12309" max="12544" width="9.28515625" style="4"/>
    <col min="12545" max="12545" width="1.7109375" style="4" customWidth="1"/>
    <col min="12546" max="12546" width="19.7109375" style="4" customWidth="1"/>
    <col min="12547" max="12549" width="50.7109375" style="4" customWidth="1"/>
    <col min="12550" max="12550" width="1.42578125" style="4" customWidth="1"/>
    <col min="12551" max="12551" width="27.42578125" style="4" customWidth="1"/>
    <col min="12552" max="12552" width="29" style="4" customWidth="1"/>
    <col min="12553" max="12561" width="14.5703125" style="4" customWidth="1"/>
    <col min="12562" max="12562" width="12" style="4" customWidth="1"/>
    <col min="12563" max="12563" width="17.28515625" style="4" customWidth="1"/>
    <col min="12564" max="12564" width="11.42578125" style="4" customWidth="1"/>
    <col min="12565" max="12800" width="9.28515625" style="4"/>
    <col min="12801" max="12801" width="1.7109375" style="4" customWidth="1"/>
    <col min="12802" max="12802" width="19.7109375" style="4" customWidth="1"/>
    <col min="12803" max="12805" width="50.7109375" style="4" customWidth="1"/>
    <col min="12806" max="12806" width="1.42578125" style="4" customWidth="1"/>
    <col min="12807" max="12807" width="27.42578125" style="4" customWidth="1"/>
    <col min="12808" max="12808" width="29" style="4" customWidth="1"/>
    <col min="12809" max="12817" width="14.5703125" style="4" customWidth="1"/>
    <col min="12818" max="12818" width="12" style="4" customWidth="1"/>
    <col min="12819" max="12819" width="17.28515625" style="4" customWidth="1"/>
    <col min="12820" max="12820" width="11.42578125" style="4" customWidth="1"/>
    <col min="12821" max="13056" width="9.28515625" style="4"/>
    <col min="13057" max="13057" width="1.7109375" style="4" customWidth="1"/>
    <col min="13058" max="13058" width="19.7109375" style="4" customWidth="1"/>
    <col min="13059" max="13061" width="50.7109375" style="4" customWidth="1"/>
    <col min="13062" max="13062" width="1.42578125" style="4" customWidth="1"/>
    <col min="13063" max="13063" width="27.42578125" style="4" customWidth="1"/>
    <col min="13064" max="13064" width="29" style="4" customWidth="1"/>
    <col min="13065" max="13073" width="14.5703125" style="4" customWidth="1"/>
    <col min="13074" max="13074" width="12" style="4" customWidth="1"/>
    <col min="13075" max="13075" width="17.28515625" style="4" customWidth="1"/>
    <col min="13076" max="13076" width="11.42578125" style="4" customWidth="1"/>
    <col min="13077" max="13312" width="9.28515625" style="4"/>
    <col min="13313" max="13313" width="1.7109375" style="4" customWidth="1"/>
    <col min="13314" max="13314" width="19.7109375" style="4" customWidth="1"/>
    <col min="13315" max="13317" width="50.7109375" style="4" customWidth="1"/>
    <col min="13318" max="13318" width="1.42578125" style="4" customWidth="1"/>
    <col min="13319" max="13319" width="27.42578125" style="4" customWidth="1"/>
    <col min="13320" max="13320" width="29" style="4" customWidth="1"/>
    <col min="13321" max="13329" width="14.5703125" style="4" customWidth="1"/>
    <col min="13330" max="13330" width="12" style="4" customWidth="1"/>
    <col min="13331" max="13331" width="17.28515625" style="4" customWidth="1"/>
    <col min="13332" max="13332" width="11.42578125" style="4" customWidth="1"/>
    <col min="13333" max="13568" width="9.28515625" style="4"/>
    <col min="13569" max="13569" width="1.7109375" style="4" customWidth="1"/>
    <col min="13570" max="13570" width="19.7109375" style="4" customWidth="1"/>
    <col min="13571" max="13573" width="50.7109375" style="4" customWidth="1"/>
    <col min="13574" max="13574" width="1.42578125" style="4" customWidth="1"/>
    <col min="13575" max="13575" width="27.42578125" style="4" customWidth="1"/>
    <col min="13576" max="13576" width="29" style="4" customWidth="1"/>
    <col min="13577" max="13585" width="14.5703125" style="4" customWidth="1"/>
    <col min="13586" max="13586" width="12" style="4" customWidth="1"/>
    <col min="13587" max="13587" width="17.28515625" style="4" customWidth="1"/>
    <col min="13588" max="13588" width="11.42578125" style="4" customWidth="1"/>
    <col min="13589" max="13824" width="9.28515625" style="4"/>
    <col min="13825" max="13825" width="1.7109375" style="4" customWidth="1"/>
    <col min="13826" max="13826" width="19.7109375" style="4" customWidth="1"/>
    <col min="13827" max="13829" width="50.7109375" style="4" customWidth="1"/>
    <col min="13830" max="13830" width="1.42578125" style="4" customWidth="1"/>
    <col min="13831" max="13831" width="27.42578125" style="4" customWidth="1"/>
    <col min="13832" max="13832" width="29" style="4" customWidth="1"/>
    <col min="13833" max="13841" width="14.5703125" style="4" customWidth="1"/>
    <col min="13842" max="13842" width="12" style="4" customWidth="1"/>
    <col min="13843" max="13843" width="17.28515625" style="4" customWidth="1"/>
    <col min="13844" max="13844" width="11.42578125" style="4" customWidth="1"/>
    <col min="13845" max="14080" width="9.28515625" style="4"/>
    <col min="14081" max="14081" width="1.7109375" style="4" customWidth="1"/>
    <col min="14082" max="14082" width="19.7109375" style="4" customWidth="1"/>
    <col min="14083" max="14085" width="50.7109375" style="4" customWidth="1"/>
    <col min="14086" max="14086" width="1.42578125" style="4" customWidth="1"/>
    <col min="14087" max="14087" width="27.42578125" style="4" customWidth="1"/>
    <col min="14088" max="14088" width="29" style="4" customWidth="1"/>
    <col min="14089" max="14097" width="14.5703125" style="4" customWidth="1"/>
    <col min="14098" max="14098" width="12" style="4" customWidth="1"/>
    <col min="14099" max="14099" width="17.28515625" style="4" customWidth="1"/>
    <col min="14100" max="14100" width="11.42578125" style="4" customWidth="1"/>
    <col min="14101" max="14336" width="9.28515625" style="4"/>
    <col min="14337" max="14337" width="1.7109375" style="4" customWidth="1"/>
    <col min="14338" max="14338" width="19.7109375" style="4" customWidth="1"/>
    <col min="14339" max="14341" width="50.7109375" style="4" customWidth="1"/>
    <col min="14342" max="14342" width="1.42578125" style="4" customWidth="1"/>
    <col min="14343" max="14343" width="27.42578125" style="4" customWidth="1"/>
    <col min="14344" max="14344" width="29" style="4" customWidth="1"/>
    <col min="14345" max="14353" width="14.5703125" style="4" customWidth="1"/>
    <col min="14354" max="14354" width="12" style="4" customWidth="1"/>
    <col min="14355" max="14355" width="17.28515625" style="4" customWidth="1"/>
    <col min="14356" max="14356" width="11.42578125" style="4" customWidth="1"/>
    <col min="14357" max="14592" width="9.28515625" style="4"/>
    <col min="14593" max="14593" width="1.7109375" style="4" customWidth="1"/>
    <col min="14594" max="14594" width="19.7109375" style="4" customWidth="1"/>
    <col min="14595" max="14597" width="50.7109375" style="4" customWidth="1"/>
    <col min="14598" max="14598" width="1.42578125" style="4" customWidth="1"/>
    <col min="14599" max="14599" width="27.42578125" style="4" customWidth="1"/>
    <col min="14600" max="14600" width="29" style="4" customWidth="1"/>
    <col min="14601" max="14609" width="14.5703125" style="4" customWidth="1"/>
    <col min="14610" max="14610" width="12" style="4" customWidth="1"/>
    <col min="14611" max="14611" width="17.28515625" style="4" customWidth="1"/>
    <col min="14612" max="14612" width="11.42578125" style="4" customWidth="1"/>
    <col min="14613" max="14848" width="9.28515625" style="4"/>
    <col min="14849" max="14849" width="1.7109375" style="4" customWidth="1"/>
    <col min="14850" max="14850" width="19.7109375" style="4" customWidth="1"/>
    <col min="14851" max="14853" width="50.7109375" style="4" customWidth="1"/>
    <col min="14854" max="14854" width="1.42578125" style="4" customWidth="1"/>
    <col min="14855" max="14855" width="27.42578125" style="4" customWidth="1"/>
    <col min="14856" max="14856" width="29" style="4" customWidth="1"/>
    <col min="14857" max="14865" width="14.5703125" style="4" customWidth="1"/>
    <col min="14866" max="14866" width="12" style="4" customWidth="1"/>
    <col min="14867" max="14867" width="17.28515625" style="4" customWidth="1"/>
    <col min="14868" max="14868" width="11.42578125" style="4" customWidth="1"/>
    <col min="14869" max="15104" width="9.28515625" style="4"/>
    <col min="15105" max="15105" width="1.7109375" style="4" customWidth="1"/>
    <col min="15106" max="15106" width="19.7109375" style="4" customWidth="1"/>
    <col min="15107" max="15109" width="50.7109375" style="4" customWidth="1"/>
    <col min="15110" max="15110" width="1.42578125" style="4" customWidth="1"/>
    <col min="15111" max="15111" width="27.42578125" style="4" customWidth="1"/>
    <col min="15112" max="15112" width="29" style="4" customWidth="1"/>
    <col min="15113" max="15121" width="14.5703125" style="4" customWidth="1"/>
    <col min="15122" max="15122" width="12" style="4" customWidth="1"/>
    <col min="15123" max="15123" width="17.28515625" style="4" customWidth="1"/>
    <col min="15124" max="15124" width="11.42578125" style="4" customWidth="1"/>
    <col min="15125" max="15360" width="9.28515625" style="4"/>
    <col min="15361" max="15361" width="1.7109375" style="4" customWidth="1"/>
    <col min="15362" max="15362" width="19.7109375" style="4" customWidth="1"/>
    <col min="15363" max="15365" width="50.7109375" style="4" customWidth="1"/>
    <col min="15366" max="15366" width="1.42578125" style="4" customWidth="1"/>
    <col min="15367" max="15367" width="27.42578125" style="4" customWidth="1"/>
    <col min="15368" max="15368" width="29" style="4" customWidth="1"/>
    <col min="15369" max="15377" width="14.5703125" style="4" customWidth="1"/>
    <col min="15378" max="15378" width="12" style="4" customWidth="1"/>
    <col min="15379" max="15379" width="17.28515625" style="4" customWidth="1"/>
    <col min="15380" max="15380" width="11.42578125" style="4" customWidth="1"/>
    <col min="15381" max="15616" width="9.28515625" style="4"/>
    <col min="15617" max="15617" width="1.7109375" style="4" customWidth="1"/>
    <col min="15618" max="15618" width="19.7109375" style="4" customWidth="1"/>
    <col min="15619" max="15621" width="50.7109375" style="4" customWidth="1"/>
    <col min="15622" max="15622" width="1.42578125" style="4" customWidth="1"/>
    <col min="15623" max="15623" width="27.42578125" style="4" customWidth="1"/>
    <col min="15624" max="15624" width="29" style="4" customWidth="1"/>
    <col min="15625" max="15633" width="14.5703125" style="4" customWidth="1"/>
    <col min="15634" max="15634" width="12" style="4" customWidth="1"/>
    <col min="15635" max="15635" width="17.28515625" style="4" customWidth="1"/>
    <col min="15636" max="15636" width="11.42578125" style="4" customWidth="1"/>
    <col min="15637" max="15872" width="9.28515625" style="4"/>
    <col min="15873" max="15873" width="1.7109375" style="4" customWidth="1"/>
    <col min="15874" max="15874" width="19.7109375" style="4" customWidth="1"/>
    <col min="15875" max="15877" width="50.7109375" style="4" customWidth="1"/>
    <col min="15878" max="15878" width="1.42578125" style="4" customWidth="1"/>
    <col min="15879" max="15879" width="27.42578125" style="4" customWidth="1"/>
    <col min="15880" max="15880" width="29" style="4" customWidth="1"/>
    <col min="15881" max="15889" width="14.5703125" style="4" customWidth="1"/>
    <col min="15890" max="15890" width="12" style="4" customWidth="1"/>
    <col min="15891" max="15891" width="17.28515625" style="4" customWidth="1"/>
    <col min="15892" max="15892" width="11.42578125" style="4" customWidth="1"/>
    <col min="15893" max="16128" width="9.28515625" style="4"/>
    <col min="16129" max="16129" width="1.7109375" style="4" customWidth="1"/>
    <col min="16130" max="16130" width="19.7109375" style="4" customWidth="1"/>
    <col min="16131" max="16133" width="50.7109375" style="4" customWidth="1"/>
    <col min="16134" max="16134" width="1.42578125" style="4" customWidth="1"/>
    <col min="16135" max="16135" width="27.42578125" style="4" customWidth="1"/>
    <col min="16136" max="16136" width="29" style="4" customWidth="1"/>
    <col min="16137" max="16145" width="14.5703125" style="4" customWidth="1"/>
    <col min="16146" max="16146" width="12" style="4" customWidth="1"/>
    <col min="16147" max="16147" width="17.28515625" style="4" customWidth="1"/>
    <col min="16148" max="16148" width="11.42578125" style="4" customWidth="1"/>
    <col min="16149" max="16384" width="9.28515625" style="4"/>
  </cols>
  <sheetData>
    <row r="1" spans="1:21" ht="8.25" customHeight="1" x14ac:dyDescent="0.25">
      <c r="A1" s="1"/>
      <c r="B1" s="19"/>
      <c r="C1" s="22"/>
      <c r="D1" s="22"/>
      <c r="E1" s="22"/>
      <c r="F1" s="22"/>
      <c r="G1" s="22"/>
      <c r="H1" s="1"/>
      <c r="I1" s="1"/>
      <c r="J1" s="1"/>
      <c r="K1" s="1"/>
      <c r="L1" s="3"/>
      <c r="M1" s="3"/>
      <c r="N1" s="3"/>
      <c r="O1" s="3"/>
      <c r="P1" s="3"/>
      <c r="Q1" s="3"/>
      <c r="R1" s="3"/>
      <c r="S1" s="3"/>
      <c r="T1" s="3"/>
      <c r="U1" s="3"/>
    </row>
    <row r="2" spans="1:21" ht="60.4" customHeight="1" x14ac:dyDescent="0.25">
      <c r="A2" s="1"/>
      <c r="B2" s="26" t="s">
        <v>206</v>
      </c>
      <c r="C2" s="85" t="s">
        <v>215</v>
      </c>
      <c r="D2" s="86"/>
      <c r="E2" s="86"/>
      <c r="F2" s="86"/>
      <c r="G2" s="52"/>
      <c r="H2" s="5"/>
      <c r="I2" s="5"/>
      <c r="J2" s="5"/>
      <c r="K2" s="5"/>
      <c r="L2" s="6"/>
      <c r="M2" s="6"/>
      <c r="N2" s="6"/>
      <c r="O2" s="6"/>
      <c r="P2" s="6"/>
      <c r="Q2" s="6"/>
      <c r="R2" s="6"/>
      <c r="S2" s="6"/>
      <c r="T2" s="6"/>
      <c r="U2" s="3"/>
    </row>
    <row r="3" spans="1:21" ht="15" customHeight="1" x14ac:dyDescent="0.25">
      <c r="A3" s="1"/>
      <c r="B3" s="23"/>
      <c r="C3" s="23"/>
      <c r="D3" s="30"/>
      <c r="E3" s="30"/>
      <c r="F3" s="30"/>
      <c r="G3" s="30"/>
      <c r="H3" s="7"/>
      <c r="I3" s="7"/>
      <c r="J3" s="7"/>
      <c r="K3" s="7"/>
      <c r="L3" s="8"/>
      <c r="M3" s="8"/>
      <c r="N3" s="8"/>
      <c r="O3" s="8"/>
      <c r="P3" s="8"/>
      <c r="Q3" s="8"/>
      <c r="R3" s="3"/>
      <c r="S3" s="3"/>
      <c r="T3" s="3"/>
      <c r="U3" s="3"/>
    </row>
    <row r="4" spans="1:21" ht="15.75" customHeight="1" x14ac:dyDescent="0.25">
      <c r="A4" s="1"/>
      <c r="B4" s="26" t="s">
        <v>0</v>
      </c>
      <c r="C4" s="27" t="s">
        <v>200</v>
      </c>
      <c r="D4" s="88" t="s">
        <v>66</v>
      </c>
      <c r="E4" s="89"/>
      <c r="F4" s="89"/>
      <c r="G4" s="89"/>
      <c r="H4" s="9"/>
      <c r="I4" s="9"/>
      <c r="J4" s="9"/>
      <c r="K4" s="9"/>
      <c r="L4" s="10"/>
      <c r="M4" s="10"/>
      <c r="N4" s="10"/>
      <c r="O4" s="10"/>
      <c r="P4" s="10"/>
      <c r="Q4" s="10"/>
      <c r="R4" s="3"/>
      <c r="S4" s="3"/>
      <c r="T4" s="3"/>
      <c r="U4" s="3"/>
    </row>
    <row r="5" spans="1:21" ht="15.75" customHeight="1" x14ac:dyDescent="0.25">
      <c r="A5" s="1"/>
      <c r="B5" s="26" t="s">
        <v>1</v>
      </c>
      <c r="C5" s="28" t="s">
        <v>28</v>
      </c>
      <c r="D5" s="88"/>
      <c r="E5" s="89"/>
      <c r="F5" s="89"/>
      <c r="G5" s="89"/>
      <c r="H5" s="1"/>
      <c r="I5" s="1"/>
      <c r="J5" s="1"/>
      <c r="K5" s="1"/>
      <c r="L5" s="3"/>
      <c r="M5" s="3"/>
      <c r="N5" s="3"/>
      <c r="O5" s="3"/>
      <c r="P5" s="3"/>
      <c r="Q5" s="3"/>
      <c r="R5" s="3"/>
      <c r="S5" s="3"/>
      <c r="T5" s="3"/>
      <c r="U5" s="3"/>
    </row>
    <row r="6" spans="1:21" ht="15.75" customHeight="1" x14ac:dyDescent="0.25">
      <c r="A6" s="1"/>
      <c r="B6" s="26" t="s">
        <v>18</v>
      </c>
      <c r="C6" s="28" t="s">
        <v>93</v>
      </c>
      <c r="D6" s="88"/>
      <c r="E6" s="89"/>
      <c r="F6" s="89"/>
      <c r="G6" s="89"/>
      <c r="H6" s="1"/>
      <c r="I6" s="9"/>
      <c r="J6" s="9"/>
      <c r="K6" s="1"/>
      <c r="L6" s="3"/>
      <c r="M6" s="3"/>
      <c r="N6" s="3"/>
      <c r="O6" s="3"/>
      <c r="P6" s="10"/>
      <c r="Q6" s="10"/>
      <c r="R6" s="10"/>
      <c r="S6" s="10"/>
      <c r="T6" s="10"/>
      <c r="U6" s="3"/>
    </row>
    <row r="7" spans="1:21" ht="15.75" customHeight="1" x14ac:dyDescent="0.25">
      <c r="A7" s="1"/>
      <c r="B7" s="26" t="s">
        <v>2</v>
      </c>
      <c r="C7" s="28" t="s">
        <v>201</v>
      </c>
      <c r="D7" s="88"/>
      <c r="E7" s="89"/>
      <c r="F7" s="89"/>
      <c r="G7" s="89"/>
      <c r="H7" s="1"/>
      <c r="I7" s="1"/>
      <c r="J7" s="1"/>
      <c r="K7" s="1"/>
      <c r="L7" s="3"/>
      <c r="M7" s="3"/>
      <c r="N7" s="3"/>
      <c r="O7" s="3"/>
      <c r="P7" s="3"/>
      <c r="Q7" s="3"/>
      <c r="R7" s="3"/>
      <c r="S7" s="3"/>
      <c r="T7" s="3"/>
      <c r="U7" s="3"/>
    </row>
    <row r="8" spans="1:21" ht="15.75" customHeight="1" x14ac:dyDescent="0.25">
      <c r="A8" s="1"/>
      <c r="B8" s="26" t="s">
        <v>26</v>
      </c>
      <c r="C8" s="29" t="s">
        <v>214</v>
      </c>
      <c r="D8" s="88"/>
      <c r="E8" s="89"/>
      <c r="F8" s="89"/>
      <c r="G8" s="89"/>
      <c r="H8" s="9"/>
      <c r="I8" s="9"/>
      <c r="J8" s="9"/>
      <c r="K8" s="1"/>
      <c r="L8" s="3"/>
      <c r="M8" s="3"/>
      <c r="N8" s="3"/>
      <c r="O8" s="3"/>
      <c r="P8" s="10"/>
      <c r="Q8" s="3"/>
      <c r="R8" s="3"/>
      <c r="S8" s="3"/>
      <c r="T8" s="3"/>
      <c r="U8" s="3"/>
    </row>
    <row r="9" spans="1:21" ht="19.899999999999999" customHeight="1" x14ac:dyDescent="0.25">
      <c r="A9" s="1"/>
      <c r="B9" s="26"/>
      <c r="C9" s="26"/>
      <c r="D9" s="87" t="s">
        <v>24</v>
      </c>
      <c r="E9" s="87"/>
      <c r="F9" s="87"/>
      <c r="G9" s="31"/>
      <c r="H9" s="9"/>
      <c r="I9" s="9"/>
      <c r="J9" s="9"/>
      <c r="K9" s="1"/>
      <c r="L9" s="3"/>
      <c r="M9" s="3"/>
      <c r="N9" s="3"/>
      <c r="O9" s="3"/>
      <c r="P9" s="10"/>
      <c r="Q9" s="3"/>
      <c r="R9" s="3"/>
      <c r="S9" s="3"/>
      <c r="T9" s="3"/>
      <c r="U9" s="3"/>
    </row>
    <row r="10" spans="1:21" ht="31.15" customHeight="1" x14ac:dyDescent="0.25">
      <c r="A10" s="11"/>
      <c r="B10" s="32"/>
      <c r="C10" s="33" t="s">
        <v>20</v>
      </c>
      <c r="D10" s="33" t="s">
        <v>21</v>
      </c>
      <c r="E10" s="33" t="s">
        <v>22</v>
      </c>
      <c r="F10" s="33" t="s">
        <v>23</v>
      </c>
      <c r="G10" s="33" t="s">
        <v>25</v>
      </c>
      <c r="H10" s="12"/>
      <c r="I10" s="12"/>
      <c r="J10" s="12"/>
      <c r="K10" s="12"/>
      <c r="L10" s="13"/>
      <c r="M10" s="13"/>
      <c r="N10" s="13"/>
      <c r="O10" s="13"/>
      <c r="P10" s="13"/>
      <c r="Q10" s="13"/>
      <c r="S10" s="14"/>
      <c r="T10" s="14"/>
      <c r="U10" s="15"/>
    </row>
    <row r="11" spans="1:21" ht="51" x14ac:dyDescent="0.25">
      <c r="A11" s="11"/>
      <c r="B11" s="34"/>
      <c r="C11" s="62" t="s">
        <v>176</v>
      </c>
      <c r="D11" s="42" t="str">
        <f>VLOOKUP(C6,'Soft Skills'!A1:S47,2,0)</f>
        <v>N/A</v>
      </c>
      <c r="E11" s="43"/>
      <c r="F11" s="42"/>
      <c r="G11" s="36"/>
      <c r="H11" s="12"/>
      <c r="I11" s="12"/>
      <c r="J11" s="12"/>
      <c r="K11" s="12"/>
      <c r="L11" s="13"/>
      <c r="M11" s="13"/>
      <c r="N11" s="13"/>
      <c r="O11" s="13"/>
      <c r="P11" s="13"/>
      <c r="Q11" s="13"/>
      <c r="S11" s="14"/>
      <c r="T11" s="14"/>
      <c r="U11" s="15"/>
    </row>
    <row r="12" spans="1:21" ht="89.25" x14ac:dyDescent="0.25">
      <c r="A12" s="11"/>
      <c r="B12" s="34"/>
      <c r="C12" s="63" t="s">
        <v>79</v>
      </c>
      <c r="D12" s="42">
        <f>VLOOKUP(C6,'Soft Skills'!A1:S47,3,0)</f>
        <v>4</v>
      </c>
      <c r="E12" s="43"/>
      <c r="F12" s="42"/>
      <c r="G12" s="36"/>
      <c r="H12" s="12"/>
      <c r="I12" s="12"/>
      <c r="J12" s="12"/>
      <c r="K12" s="12"/>
      <c r="L12" s="13"/>
      <c r="M12" s="13"/>
      <c r="N12" s="13"/>
      <c r="O12" s="13"/>
      <c r="P12" s="13"/>
      <c r="Q12" s="13"/>
      <c r="S12" s="14"/>
      <c r="T12" s="14"/>
      <c r="U12" s="15"/>
    </row>
    <row r="13" spans="1:21" ht="76.5" x14ac:dyDescent="0.25">
      <c r="A13" s="11"/>
      <c r="B13" s="34"/>
      <c r="C13" s="62" t="s">
        <v>80</v>
      </c>
      <c r="D13" s="42">
        <f>VLOOKUP(C6,'Soft Skills'!A1:S47,4,0)</f>
        <v>4</v>
      </c>
      <c r="E13" s="43"/>
      <c r="F13" s="42"/>
      <c r="G13" s="36"/>
      <c r="H13" s="12"/>
      <c r="I13" s="12"/>
      <c r="J13" s="12"/>
      <c r="K13" s="12"/>
      <c r="L13" s="13"/>
      <c r="M13" s="13"/>
      <c r="N13" s="13"/>
      <c r="O13" s="13"/>
      <c r="P13" s="13"/>
      <c r="Q13" s="13"/>
      <c r="S13" s="14"/>
      <c r="T13" s="14"/>
      <c r="U13" s="15"/>
    </row>
    <row r="14" spans="1:21" ht="76.5" x14ac:dyDescent="0.25">
      <c r="A14" s="11"/>
      <c r="B14" s="34"/>
      <c r="C14" s="62" t="s">
        <v>81</v>
      </c>
      <c r="D14" s="42">
        <f>VLOOKUP(C6,'Soft Skills'!A1:S47,5,0)</f>
        <v>4</v>
      </c>
      <c r="E14" s="43"/>
      <c r="F14" s="42"/>
      <c r="G14" s="36"/>
      <c r="H14" s="12"/>
      <c r="I14" s="12"/>
      <c r="J14" s="12"/>
      <c r="K14" s="12"/>
      <c r="L14" s="13"/>
      <c r="M14" s="13"/>
      <c r="N14" s="13"/>
      <c r="O14" s="13"/>
      <c r="P14" s="13"/>
      <c r="Q14" s="13"/>
      <c r="S14" s="14"/>
      <c r="T14" s="14"/>
      <c r="U14" s="15"/>
    </row>
    <row r="15" spans="1:21" ht="63.75" x14ac:dyDescent="0.25">
      <c r="A15" s="11"/>
      <c r="B15" s="34"/>
      <c r="C15" s="62" t="s">
        <v>202</v>
      </c>
      <c r="D15" s="42" t="str">
        <f>VLOOKUP(C6,'Soft Skills'!A1:S47,6,0)</f>
        <v>N/A</v>
      </c>
      <c r="E15" s="43"/>
      <c r="F15" s="42"/>
      <c r="G15" s="36"/>
      <c r="H15" s="12"/>
      <c r="I15" s="12"/>
      <c r="J15" s="12"/>
      <c r="K15" s="12"/>
      <c r="L15" s="13"/>
      <c r="M15" s="13"/>
      <c r="N15" s="13"/>
      <c r="O15" s="13"/>
      <c r="P15" s="13"/>
      <c r="Q15" s="13"/>
      <c r="S15" s="14"/>
      <c r="T15" s="14"/>
      <c r="U15" s="15"/>
    </row>
    <row r="16" spans="1:21" ht="63.75" x14ac:dyDescent="0.25">
      <c r="A16" s="11"/>
      <c r="B16" s="34"/>
      <c r="C16" s="62" t="s">
        <v>82</v>
      </c>
      <c r="D16" s="42" t="str">
        <f>VLOOKUP(C6,'Soft Skills'!A1:S47,7,0)</f>
        <v>N/A</v>
      </c>
      <c r="E16" s="43"/>
      <c r="F16" s="42"/>
      <c r="G16" s="36"/>
      <c r="H16" s="12"/>
      <c r="I16" s="12"/>
      <c r="J16" s="12"/>
      <c r="K16" s="12"/>
      <c r="L16" s="13"/>
      <c r="M16" s="13"/>
      <c r="N16" s="13"/>
      <c r="O16" s="13"/>
      <c r="P16" s="13"/>
      <c r="Q16" s="13"/>
      <c r="S16" s="14"/>
      <c r="T16" s="14"/>
      <c r="U16" s="15"/>
    </row>
    <row r="17" spans="1:21" ht="63.75" x14ac:dyDescent="0.25">
      <c r="A17" s="11"/>
      <c r="B17" s="34"/>
      <c r="C17" s="62" t="s">
        <v>83</v>
      </c>
      <c r="D17" s="42" t="str">
        <f>VLOOKUP(C6,'Soft Skills'!A1:S47,8,0)</f>
        <v>N/A</v>
      </c>
      <c r="E17" s="43"/>
      <c r="F17" s="42"/>
      <c r="G17" s="36"/>
      <c r="H17" s="12"/>
      <c r="I17" s="12"/>
      <c r="J17" s="12"/>
      <c r="K17" s="12"/>
      <c r="L17" s="13"/>
      <c r="M17" s="13"/>
      <c r="N17" s="13"/>
      <c r="O17" s="13"/>
      <c r="P17" s="13"/>
      <c r="Q17" s="13"/>
      <c r="S17" s="14"/>
      <c r="T17" s="14"/>
      <c r="U17" s="15"/>
    </row>
    <row r="18" spans="1:21" ht="63.75" x14ac:dyDescent="0.25">
      <c r="A18" s="11"/>
      <c r="B18" s="34"/>
      <c r="C18" s="62" t="s">
        <v>84</v>
      </c>
      <c r="D18" s="42">
        <f>VLOOKUP(C6,'Soft Skills'!A1:S47,9,0)</f>
        <v>4</v>
      </c>
      <c r="E18" s="43"/>
      <c r="F18" s="42"/>
      <c r="G18" s="36"/>
      <c r="H18" s="12"/>
      <c r="I18" s="12"/>
      <c r="J18" s="12"/>
      <c r="K18" s="12"/>
      <c r="L18" s="13"/>
      <c r="M18" s="13"/>
      <c r="N18" s="13"/>
      <c r="O18" s="13"/>
      <c r="P18" s="13"/>
      <c r="Q18" s="13"/>
      <c r="S18" s="14"/>
      <c r="T18" s="14"/>
      <c r="U18" s="15"/>
    </row>
    <row r="19" spans="1:21" ht="76.5" x14ac:dyDescent="0.25">
      <c r="A19" s="11"/>
      <c r="B19" s="34"/>
      <c r="C19" s="62" t="s">
        <v>199</v>
      </c>
      <c r="D19" s="42">
        <f>VLOOKUP(C6,'Soft Skills'!A1:S47,10,0)</f>
        <v>4</v>
      </c>
      <c r="E19" s="43"/>
      <c r="F19" s="42"/>
      <c r="G19" s="36"/>
      <c r="H19" s="12"/>
      <c r="I19" s="12"/>
      <c r="J19" s="12"/>
      <c r="K19" s="12"/>
      <c r="L19" s="13"/>
      <c r="M19" s="13"/>
      <c r="N19" s="13"/>
      <c r="O19" s="13"/>
      <c r="P19" s="13"/>
      <c r="Q19" s="13"/>
      <c r="S19" s="14"/>
      <c r="T19" s="14"/>
      <c r="U19" s="15"/>
    </row>
    <row r="20" spans="1:21" ht="51" x14ac:dyDescent="0.25">
      <c r="A20" s="11"/>
      <c r="B20" s="34"/>
      <c r="C20" s="62" t="s">
        <v>85</v>
      </c>
      <c r="D20" s="42" t="str">
        <f>VLOOKUP(C6,'Soft Skills'!A1:S47,11,0)</f>
        <v>N/A</v>
      </c>
      <c r="E20" s="43"/>
      <c r="F20" s="42"/>
      <c r="G20" s="36"/>
      <c r="H20" s="12"/>
      <c r="I20" s="12"/>
      <c r="J20" s="12"/>
      <c r="K20" s="12"/>
      <c r="L20" s="13"/>
      <c r="M20" s="13"/>
      <c r="N20" s="13"/>
      <c r="O20" s="13"/>
      <c r="P20" s="13"/>
      <c r="Q20" s="13"/>
      <c r="S20" s="14"/>
      <c r="T20" s="14"/>
      <c r="U20" s="15"/>
    </row>
    <row r="21" spans="1:21" ht="76.5" x14ac:dyDescent="0.25">
      <c r="A21" s="11"/>
      <c r="B21" s="34"/>
      <c r="C21" s="62" t="s">
        <v>86</v>
      </c>
      <c r="D21" s="42">
        <f>VLOOKUP(C6,'Soft Skills'!A1:S47,12,0)</f>
        <v>4</v>
      </c>
      <c r="E21" s="43"/>
      <c r="F21" s="43"/>
      <c r="G21" s="36"/>
      <c r="H21" s="16"/>
      <c r="I21" s="16"/>
      <c r="J21" s="16"/>
      <c r="K21" s="16"/>
      <c r="L21" s="14"/>
      <c r="M21" s="14"/>
      <c r="N21" s="14"/>
      <c r="O21" s="14"/>
      <c r="P21" s="14"/>
      <c r="Q21" s="14"/>
      <c r="S21" s="14"/>
      <c r="T21" s="14"/>
      <c r="U21" s="15"/>
    </row>
    <row r="22" spans="1:21" ht="63.75" x14ac:dyDescent="0.25">
      <c r="A22" s="11"/>
      <c r="B22" s="34"/>
      <c r="C22" s="62" t="s">
        <v>194</v>
      </c>
      <c r="D22" s="42" t="str">
        <f>VLOOKUP(C6,'Soft Skills'!A1:S47,13,0)</f>
        <v>N/A</v>
      </c>
      <c r="E22" s="43"/>
      <c r="F22" s="43"/>
      <c r="G22" s="36"/>
      <c r="H22" s="16"/>
      <c r="I22" s="16"/>
      <c r="J22" s="16"/>
      <c r="K22" s="16"/>
      <c r="L22" s="14"/>
      <c r="M22" s="14"/>
      <c r="N22" s="14"/>
      <c r="O22" s="14"/>
      <c r="P22" s="14"/>
      <c r="Q22" s="14"/>
      <c r="S22" s="14"/>
      <c r="T22" s="14"/>
      <c r="U22" s="15"/>
    </row>
    <row r="23" spans="1:21" ht="89.25" x14ac:dyDescent="0.25">
      <c r="A23" s="11"/>
      <c r="B23" s="34"/>
      <c r="C23" s="62" t="s">
        <v>195</v>
      </c>
      <c r="D23" s="42" t="str">
        <f>VLOOKUP(C6,'Soft Skills'!A1:S47,14,0)</f>
        <v>N/A</v>
      </c>
      <c r="E23" s="46"/>
      <c r="F23" s="46"/>
      <c r="G23" s="40"/>
      <c r="H23" s="16"/>
      <c r="I23" s="16"/>
      <c r="J23" s="16"/>
      <c r="K23" s="16"/>
      <c r="L23" s="14"/>
      <c r="M23" s="14"/>
      <c r="N23" s="14"/>
      <c r="O23" s="14"/>
      <c r="P23" s="14"/>
      <c r="Q23" s="14"/>
      <c r="S23" s="14"/>
      <c r="T23" s="14"/>
      <c r="U23" s="15"/>
    </row>
    <row r="24" spans="1:21" ht="51" x14ac:dyDescent="0.25">
      <c r="A24" s="11"/>
      <c r="B24" s="34"/>
      <c r="C24" s="62" t="s">
        <v>108</v>
      </c>
      <c r="D24" s="42" t="str">
        <f>VLOOKUP(C6,'Soft Skills'!A1:S47,15,0)</f>
        <v>N/A</v>
      </c>
      <c r="E24" s="46"/>
      <c r="F24" s="46"/>
      <c r="G24" s="40"/>
      <c r="H24" s="16"/>
      <c r="I24" s="16"/>
      <c r="J24" s="16"/>
      <c r="K24" s="16"/>
      <c r="L24" s="14"/>
      <c r="M24" s="14"/>
      <c r="N24" s="14"/>
      <c r="O24" s="14"/>
      <c r="P24" s="14"/>
      <c r="Q24" s="14"/>
      <c r="S24" s="14"/>
      <c r="T24" s="14"/>
      <c r="U24" s="15"/>
    </row>
    <row r="25" spans="1:21" ht="89.25" x14ac:dyDescent="0.25">
      <c r="A25" s="11"/>
      <c r="B25" s="34"/>
      <c r="C25" s="62" t="s">
        <v>110</v>
      </c>
      <c r="D25" s="42" t="str">
        <f>VLOOKUP(C6,'Soft Skills'!A1:S47,16,0)</f>
        <v>N/A</v>
      </c>
      <c r="E25" s="46"/>
      <c r="F25" s="46"/>
      <c r="G25" s="40"/>
      <c r="H25" s="16"/>
      <c r="I25" s="16"/>
      <c r="J25" s="16"/>
      <c r="K25" s="16"/>
      <c r="L25" s="14"/>
      <c r="M25" s="14"/>
      <c r="N25" s="14"/>
      <c r="O25" s="14"/>
      <c r="P25" s="14"/>
      <c r="Q25" s="14"/>
      <c r="S25" s="14"/>
      <c r="T25" s="14"/>
      <c r="U25" s="15"/>
    </row>
    <row r="26" spans="1:21" ht="63.75" x14ac:dyDescent="0.25">
      <c r="A26" s="11"/>
      <c r="B26" s="34"/>
      <c r="C26" s="62" t="s">
        <v>109</v>
      </c>
      <c r="D26" s="42" t="str">
        <f>VLOOKUP(C6,'Soft Skills'!A1:S47,17,0)</f>
        <v>N/A</v>
      </c>
      <c r="E26" s="46"/>
      <c r="F26" s="46"/>
      <c r="G26" s="40"/>
      <c r="H26" s="16"/>
      <c r="I26" s="16"/>
      <c r="J26" s="16"/>
      <c r="K26" s="16"/>
      <c r="L26" s="14"/>
      <c r="M26" s="14"/>
      <c r="N26" s="14"/>
      <c r="O26" s="14"/>
      <c r="P26" s="14"/>
      <c r="Q26" s="14"/>
      <c r="S26" s="14"/>
      <c r="T26" s="14"/>
      <c r="U26" s="15"/>
    </row>
    <row r="27" spans="1:21" ht="63.75" x14ac:dyDescent="0.25">
      <c r="A27" s="11"/>
      <c r="B27" s="34"/>
      <c r="C27" s="62" t="s">
        <v>111</v>
      </c>
      <c r="D27" s="42" t="str">
        <f>VLOOKUP(C6,'Soft Skills'!A1:S47,18,0)</f>
        <v>N/A</v>
      </c>
      <c r="E27" s="46"/>
      <c r="F27" s="46"/>
      <c r="G27" s="40"/>
      <c r="H27" s="16"/>
      <c r="I27" s="16"/>
      <c r="J27" s="16"/>
      <c r="K27" s="16"/>
      <c r="L27" s="14"/>
      <c r="M27" s="14"/>
      <c r="N27" s="14"/>
      <c r="O27" s="14"/>
      <c r="P27" s="14"/>
      <c r="Q27" s="14"/>
      <c r="S27" s="14"/>
      <c r="T27" s="14"/>
      <c r="U27" s="15"/>
    </row>
    <row r="28" spans="1:21" ht="76.5" x14ac:dyDescent="0.25">
      <c r="A28" s="11"/>
      <c r="B28" s="34"/>
      <c r="C28" s="62" t="s">
        <v>112</v>
      </c>
      <c r="D28" s="42" t="str">
        <f>VLOOKUP(C6,'Soft Skills'!A1:S47,19,0)</f>
        <v>N/A</v>
      </c>
      <c r="E28" s="46"/>
      <c r="F28" s="46"/>
      <c r="G28" s="40"/>
      <c r="H28" s="16"/>
      <c r="I28" s="16"/>
      <c r="J28" s="16"/>
      <c r="K28" s="16"/>
      <c r="L28" s="14"/>
      <c r="M28" s="14"/>
      <c r="N28" s="14"/>
      <c r="O28" s="14"/>
      <c r="P28" s="14"/>
      <c r="Q28" s="14"/>
      <c r="S28" s="14"/>
      <c r="T28" s="14"/>
      <c r="U28" s="15"/>
    </row>
    <row r="29" spans="1:21" ht="18.399999999999999" customHeight="1" x14ac:dyDescent="0.25">
      <c r="A29" s="11"/>
      <c r="B29" s="34"/>
      <c r="C29" s="64" t="s">
        <v>196</v>
      </c>
      <c r="D29" s="80">
        <f>AVERAGE(D11:D28)</f>
        <v>4</v>
      </c>
      <c r="E29" s="80" t="e">
        <f>AVERAGE(E11:E28)</f>
        <v>#DIV/0!</v>
      </c>
      <c r="F29" s="80" t="e">
        <f>AVERAGE(F11:F28)</f>
        <v>#DIV/0!</v>
      </c>
      <c r="G29" s="35"/>
      <c r="H29" s="16"/>
      <c r="I29" s="16"/>
      <c r="J29" s="16"/>
      <c r="K29" s="16"/>
      <c r="L29" s="14"/>
      <c r="M29" s="14"/>
      <c r="N29" s="14"/>
      <c r="O29" s="14"/>
      <c r="P29" s="14"/>
      <c r="Q29" s="14"/>
      <c r="S29" s="14"/>
      <c r="T29" s="14"/>
      <c r="U29" s="15"/>
    </row>
    <row r="30" spans="1:21" ht="9" customHeight="1" x14ac:dyDescent="0.25">
      <c r="A30" s="1"/>
      <c r="B30" s="37"/>
      <c r="C30" s="20"/>
      <c r="D30" s="20"/>
      <c r="E30" s="20"/>
      <c r="F30" s="20"/>
      <c r="G30" s="20"/>
      <c r="H30" s="7"/>
      <c r="I30" s="7"/>
      <c r="J30" s="7"/>
      <c r="K30" s="7"/>
      <c r="L30" s="8"/>
      <c r="M30" s="8"/>
      <c r="N30" s="8"/>
      <c r="O30" s="8"/>
      <c r="P30" s="8"/>
      <c r="Q30" s="8"/>
      <c r="S30" s="3"/>
      <c r="T30" s="3"/>
      <c r="U30" s="3"/>
    </row>
    <row r="31" spans="1:21" ht="48" customHeight="1" x14ac:dyDescent="0.25">
      <c r="A31" s="1"/>
      <c r="B31" s="34" t="s">
        <v>211</v>
      </c>
      <c r="C31" s="21"/>
      <c r="D31" s="34" t="s">
        <v>212</v>
      </c>
      <c r="E31" s="84" t="s">
        <v>213</v>
      </c>
      <c r="F31" s="34" t="s">
        <v>15</v>
      </c>
      <c r="G31" s="21"/>
      <c r="H31" s="7"/>
      <c r="I31" s="7"/>
      <c r="J31" s="7"/>
      <c r="K31" s="7"/>
      <c r="L31" s="8"/>
      <c r="M31" s="8"/>
      <c r="N31" s="8"/>
      <c r="O31" s="8"/>
      <c r="P31" s="8"/>
      <c r="Q31" s="8"/>
      <c r="S31" s="3"/>
      <c r="T31" s="3"/>
      <c r="U31" s="3"/>
    </row>
    <row r="32" spans="1:21" ht="6.75" customHeight="1" x14ac:dyDescent="0.25">
      <c r="A32" s="1"/>
      <c r="B32" s="2"/>
      <c r="C32" s="1"/>
      <c r="D32" s="1"/>
      <c r="E32" s="1"/>
      <c r="F32" s="1"/>
      <c r="G32" s="1"/>
      <c r="H32" s="1"/>
      <c r="I32" s="1"/>
      <c r="J32" s="1"/>
      <c r="K32" s="1"/>
      <c r="L32" s="3"/>
      <c r="M32" s="3"/>
      <c r="N32" s="3"/>
      <c r="O32" s="3"/>
      <c r="P32" s="3"/>
      <c r="Q32" s="3"/>
      <c r="R32" s="3"/>
      <c r="S32" s="3"/>
      <c r="T32" s="3"/>
      <c r="U32" s="3"/>
    </row>
    <row r="33" spans="1:21" ht="18.75" customHeight="1" x14ac:dyDescent="0.25">
      <c r="A33" s="3"/>
      <c r="B33" s="14"/>
      <c r="C33" s="3"/>
      <c r="D33" s="3"/>
      <c r="E33" s="3"/>
      <c r="F33" s="3"/>
      <c r="G33" s="3"/>
      <c r="H33" s="3"/>
      <c r="I33" s="3"/>
      <c r="J33" s="3"/>
      <c r="K33" s="3"/>
      <c r="L33" s="3"/>
      <c r="M33" s="3"/>
      <c r="N33" s="3"/>
      <c r="O33" s="3"/>
      <c r="P33" s="3"/>
      <c r="Q33" s="3"/>
      <c r="R33" s="3"/>
      <c r="S33" s="3"/>
      <c r="T33" s="3"/>
      <c r="U33" s="3"/>
    </row>
    <row r="34" spans="1:21" ht="25.9" customHeight="1" x14ac:dyDescent="0.2">
      <c r="B34" s="24"/>
      <c r="C34" s="51"/>
      <c r="D34" s="51"/>
      <c r="E34" s="51"/>
      <c r="F34" s="24"/>
    </row>
    <row r="35" spans="1:21" ht="25.9" customHeight="1" x14ac:dyDescent="0.2">
      <c r="B35" s="24"/>
      <c r="C35" s="51"/>
      <c r="D35" s="51"/>
      <c r="E35" s="51"/>
      <c r="F35" s="24"/>
    </row>
    <row r="36" spans="1:21" ht="25.9" customHeight="1" x14ac:dyDescent="0.2">
      <c r="B36" s="24"/>
      <c r="C36" s="51"/>
      <c r="D36" s="51"/>
      <c r="E36" s="24"/>
      <c r="F36" s="24"/>
    </row>
    <row r="37" spans="1:21" ht="18.75" customHeight="1" x14ac:dyDescent="0.25"/>
    <row r="38" spans="1:21" ht="18.75" customHeight="1" x14ac:dyDescent="0.25">
      <c r="B38" s="24"/>
      <c r="C38" s="25"/>
      <c r="D38" s="50"/>
      <c r="E38" s="50"/>
    </row>
    <row r="39" spans="1:21" ht="18.75" customHeight="1" x14ac:dyDescent="0.25">
      <c r="B39" s="24"/>
      <c r="C39" s="25"/>
      <c r="D39" s="50"/>
      <c r="E39" s="50"/>
    </row>
    <row r="40" spans="1:21" ht="18.75" customHeight="1" x14ac:dyDescent="0.25">
      <c r="B40" s="24"/>
      <c r="C40" s="25"/>
      <c r="D40" s="50"/>
      <c r="E40" s="50"/>
    </row>
    <row r="41" spans="1:21" ht="18.75" customHeight="1" x14ac:dyDescent="0.25">
      <c r="B41" s="24"/>
      <c r="C41" s="25"/>
      <c r="D41" s="50"/>
      <c r="E41" s="50"/>
    </row>
    <row r="42" spans="1:21" ht="18.75" customHeight="1" x14ac:dyDescent="0.25">
      <c r="B42" s="24"/>
      <c r="C42" s="25"/>
      <c r="D42" s="50"/>
      <c r="E42" s="50"/>
    </row>
    <row r="43" spans="1:21" ht="18.75" customHeight="1" x14ac:dyDescent="0.25"/>
    <row r="44" spans="1:21" ht="18.75" customHeight="1" x14ac:dyDescent="0.25"/>
    <row r="45" spans="1:21" ht="18.75" customHeight="1" x14ac:dyDescent="0.25"/>
    <row r="46" spans="1:21" ht="18.75" customHeight="1" x14ac:dyDescent="0.25"/>
    <row r="47" spans="1:21" ht="18.75" customHeight="1" x14ac:dyDescent="0.25"/>
    <row r="48" spans="1:21"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spans="1:11" ht="18.75" customHeight="1" x14ac:dyDescent="0.25"/>
    <row r="98" spans="1:11" ht="18.75" customHeight="1" x14ac:dyDescent="0.25"/>
    <row r="99" spans="1:11" ht="18.75" customHeight="1" x14ac:dyDescent="0.25"/>
    <row r="100" spans="1:11" ht="18.75" customHeight="1" x14ac:dyDescent="0.25"/>
    <row r="101" spans="1:11" ht="18.75" customHeight="1" x14ac:dyDescent="0.25">
      <c r="A101" s="2"/>
      <c r="B101" s="2"/>
      <c r="C101" s="2"/>
      <c r="D101" s="2"/>
      <c r="E101" s="2"/>
      <c r="F101" s="2"/>
      <c r="G101" s="2"/>
      <c r="H101" s="2"/>
      <c r="I101" s="2"/>
      <c r="J101" s="2"/>
      <c r="K101" s="2"/>
    </row>
    <row r="102" spans="1:11" ht="18.75" customHeight="1" x14ac:dyDescent="0.25">
      <c r="A102" s="2"/>
      <c r="B102" s="2"/>
      <c r="C102" s="2"/>
      <c r="D102" s="2"/>
      <c r="E102" s="2"/>
      <c r="F102" s="2"/>
      <c r="G102" s="2"/>
      <c r="H102" s="2"/>
      <c r="I102" s="2"/>
      <c r="J102" s="2"/>
      <c r="K102" s="2"/>
    </row>
    <row r="103" spans="1:11" ht="18.75" customHeight="1" x14ac:dyDescent="0.25">
      <c r="A103" s="2"/>
      <c r="B103" s="2"/>
      <c r="C103" s="2"/>
      <c r="D103" s="2"/>
      <c r="E103" s="2"/>
      <c r="F103" s="2"/>
      <c r="G103" s="2"/>
      <c r="H103" s="2"/>
      <c r="I103" s="2"/>
      <c r="J103" s="2"/>
      <c r="K103" s="2"/>
    </row>
    <row r="104" spans="1:11" ht="18.75" customHeight="1" x14ac:dyDescent="0.25">
      <c r="A104" s="2"/>
      <c r="B104" s="2"/>
      <c r="C104" s="2"/>
      <c r="D104" s="2"/>
      <c r="E104" s="2"/>
      <c r="F104" s="2"/>
      <c r="G104" s="2"/>
      <c r="H104" s="2"/>
      <c r="I104" s="2"/>
      <c r="J104" s="2"/>
      <c r="K104" s="2"/>
    </row>
    <row r="105" spans="1:11" ht="18.75" customHeight="1" x14ac:dyDescent="0.25">
      <c r="A105" s="2"/>
      <c r="B105" s="2"/>
      <c r="C105" s="2"/>
      <c r="D105" s="2"/>
      <c r="E105" s="2"/>
      <c r="F105" s="2"/>
      <c r="G105" s="2"/>
      <c r="H105" s="2"/>
      <c r="I105" s="2"/>
      <c r="J105" s="2"/>
      <c r="K105" s="2"/>
    </row>
    <row r="106" spans="1:11" ht="18.75" customHeight="1" x14ac:dyDescent="0.25">
      <c r="A106" s="2"/>
      <c r="B106" s="2"/>
      <c r="C106" s="2"/>
      <c r="D106" s="2"/>
      <c r="E106" s="2"/>
      <c r="F106" s="2"/>
      <c r="G106" s="2"/>
      <c r="H106" s="2"/>
      <c r="I106" s="2"/>
      <c r="J106" s="2"/>
      <c r="K106" s="2"/>
    </row>
    <row r="107" spans="1:11" ht="18.75" customHeight="1" x14ac:dyDescent="0.25">
      <c r="A107" s="2"/>
      <c r="B107" s="2"/>
      <c r="C107" s="2"/>
      <c r="D107" s="2"/>
      <c r="E107" s="2"/>
      <c r="F107" s="2"/>
      <c r="G107" s="2"/>
      <c r="H107" s="2"/>
      <c r="I107" s="2"/>
      <c r="J107" s="2"/>
      <c r="K107" s="2"/>
    </row>
    <row r="108" spans="1:11" ht="18.75" customHeight="1" x14ac:dyDescent="0.25">
      <c r="A108" s="2"/>
      <c r="B108" s="2"/>
      <c r="C108" s="2"/>
      <c r="D108" s="2"/>
      <c r="E108" s="2"/>
      <c r="F108" s="2"/>
      <c r="G108" s="2"/>
      <c r="H108" s="2"/>
      <c r="I108" s="2"/>
      <c r="J108" s="2"/>
      <c r="K108" s="2"/>
    </row>
    <row r="109" spans="1:11" ht="18.75" customHeight="1" x14ac:dyDescent="0.25">
      <c r="A109" s="2"/>
      <c r="B109" s="2"/>
      <c r="C109" s="2"/>
      <c r="D109" s="2"/>
      <c r="E109" s="2"/>
      <c r="F109" s="2"/>
      <c r="G109" s="2"/>
      <c r="H109" s="2"/>
      <c r="I109" s="2"/>
      <c r="J109" s="2"/>
      <c r="K109" s="2"/>
    </row>
    <row r="110" spans="1:11" ht="18.75" customHeight="1" x14ac:dyDescent="0.25">
      <c r="A110" s="2"/>
      <c r="B110" s="2"/>
      <c r="C110" s="2"/>
      <c r="D110" s="2"/>
      <c r="E110" s="2"/>
      <c r="F110" s="2"/>
      <c r="G110" s="2"/>
      <c r="H110" s="2"/>
      <c r="I110" s="2"/>
      <c r="J110" s="2"/>
      <c r="K110" s="2"/>
    </row>
  </sheetData>
  <mergeCells count="3">
    <mergeCell ref="C2:F2"/>
    <mergeCell ref="D9:F9"/>
    <mergeCell ref="D4:G8"/>
  </mergeCells>
  <dataValidations count="5">
    <dataValidation type="list" allowBlank="1" showInputMessage="1" showErrorMessage="1" prompt="Escolha o grupo de Job Grades" sqref="C65535:D65535 SU11:SV20 ACQ11:ACR20 AMM11:AMN20 AWI11:AWJ20 BGE11:BGF20 BQA11:BQB20 BZW11:BZX20 CJS11:CJT20 CTO11:CTP20 DDK11:DDL20 DNG11:DNH20 DXC11:DXD20 EGY11:EGZ20 EQU11:EQV20 FAQ11:FAR20 FKM11:FKN20 FUI11:FUJ20 GEE11:GEF20 GOA11:GOB20 GXW11:GXX20 HHS11:HHT20 HRO11:HRP20 IBK11:IBL20 ILG11:ILH20 IVC11:IVD20 JEY11:JEZ20 JOU11:JOV20 JYQ11:JYR20 KIM11:KIN20 KSI11:KSJ20 LCE11:LCF20 LMA11:LMB20 LVW11:LVX20 MFS11:MFT20 MPO11:MPP20 MZK11:MZL20 NJG11:NJH20 NTC11:NTD20 OCY11:OCZ20 OMU11:OMV20 OWQ11:OWR20 PGM11:PGN20 PQI11:PQJ20 QAE11:QAF20 QKA11:QKB20 QTW11:QTX20 RDS11:RDT20 RNO11:RNP20 RXK11:RXL20 SHG11:SHH20 SRC11:SRD20 TAY11:TAZ20 TKU11:TKV20 TUQ11:TUR20 UEM11:UEN20 UOI11:UOJ20 UYE11:UYF20 VIA11:VIB20 VRW11:VRX20 WBS11:WBT20 WLO11:WLP20 WVK11:WVL20 IY65535:IZ65535 SU65535:SV65535 ACQ65535:ACR65535 AMM65535:AMN65535 AWI65535:AWJ65535 BGE65535:BGF65535 BQA65535:BQB65535 BZW65535:BZX65535 CJS65535:CJT65535 CTO65535:CTP65535 DDK65535:DDL65535 DNG65535:DNH65535 DXC65535:DXD65535 EGY65535:EGZ65535 EQU65535:EQV65535 FAQ65535:FAR65535 FKM65535:FKN65535 FUI65535:FUJ65535 GEE65535:GEF65535 GOA65535:GOB65535 GXW65535:GXX65535 HHS65535:HHT65535 HRO65535:HRP65535 IBK65535:IBL65535 ILG65535:ILH65535 IVC65535:IVD65535 JEY65535:JEZ65535 JOU65535:JOV65535 JYQ65535:JYR65535 KIM65535:KIN65535 KSI65535:KSJ65535 LCE65535:LCF65535 LMA65535:LMB65535 LVW65535:LVX65535 MFS65535:MFT65535 MPO65535:MPP65535 MZK65535:MZL65535 NJG65535:NJH65535 NTC65535:NTD65535 OCY65535:OCZ65535 OMU65535:OMV65535 OWQ65535:OWR65535 PGM65535:PGN65535 PQI65535:PQJ65535 QAE65535:QAF65535 QKA65535:QKB65535 QTW65535:QTX65535 RDS65535:RDT65535 RNO65535:RNP65535 RXK65535:RXL65535 SHG65535:SHH65535 SRC65535:SRD65535 TAY65535:TAZ65535 TKU65535:TKV65535 TUQ65535:TUR65535 UEM65535:UEN65535 UOI65535:UOJ65535 UYE65535:UYF65535 VIA65535:VIB65535 VRW65535:VRX65535 WBS65535:WBT65535 WLO65535:WLP65535 WVK65535:WVL65535 IY131071:IZ131071 SU131071:SV131071 ACQ131071:ACR131071 AMM131071:AMN131071 AWI131071:AWJ131071 BGE131071:BGF131071 BQA131071:BQB131071 BZW131071:BZX131071 CJS131071:CJT131071 CTO131071:CTP131071 DDK131071:DDL131071 DNG131071:DNH131071 DXC131071:DXD131071 EGY131071:EGZ131071 EQU131071:EQV131071 FAQ131071:FAR131071 FKM131071:FKN131071 FUI131071:FUJ131071 GEE131071:GEF131071 GOA131071:GOB131071 GXW131071:GXX131071 HHS131071:HHT131071 HRO131071:HRP131071 IBK131071:IBL131071 ILG131071:ILH131071 IVC131071:IVD131071 JEY131071:JEZ131071 JOU131071:JOV131071 JYQ131071:JYR131071 KIM131071:KIN131071 KSI131071:KSJ131071 LCE131071:LCF131071 LMA131071:LMB131071 LVW131071:LVX131071 MFS131071:MFT131071 MPO131071:MPP131071 MZK131071:MZL131071 NJG131071:NJH131071 NTC131071:NTD131071 OCY131071:OCZ131071 OMU131071:OMV131071 OWQ131071:OWR131071 PGM131071:PGN131071 PQI131071:PQJ131071 QAE131071:QAF131071 QKA131071:QKB131071 QTW131071:QTX131071 RDS131071:RDT131071 RNO131071:RNP131071 RXK131071:RXL131071 SHG131071:SHH131071 SRC131071:SRD131071 TAY131071:TAZ131071 TKU131071:TKV131071 TUQ131071:TUR131071 UEM131071:UEN131071 UOI131071:UOJ131071 UYE131071:UYF131071 VIA131071:VIB131071 VRW131071:VRX131071 WBS131071:WBT131071 WLO131071:WLP131071 WVK131071:WVL131071 IY196607:IZ196607 SU196607:SV196607 ACQ196607:ACR196607 AMM196607:AMN196607 AWI196607:AWJ196607 BGE196607:BGF196607 BQA196607:BQB196607 BZW196607:BZX196607 CJS196607:CJT196607 CTO196607:CTP196607 DDK196607:DDL196607 DNG196607:DNH196607 DXC196607:DXD196607 EGY196607:EGZ196607 EQU196607:EQV196607 FAQ196607:FAR196607 FKM196607:FKN196607 FUI196607:FUJ196607 GEE196607:GEF196607 GOA196607:GOB196607 GXW196607:GXX196607 HHS196607:HHT196607 HRO196607:HRP196607 IBK196607:IBL196607 ILG196607:ILH196607 IVC196607:IVD196607 JEY196607:JEZ196607 JOU196607:JOV196607 JYQ196607:JYR196607 KIM196607:KIN196607 KSI196607:KSJ196607 LCE196607:LCF196607 LMA196607:LMB196607 LVW196607:LVX196607 MFS196607:MFT196607 MPO196607:MPP196607 MZK196607:MZL196607 NJG196607:NJH196607 NTC196607:NTD196607 OCY196607:OCZ196607 OMU196607:OMV196607 OWQ196607:OWR196607 PGM196607:PGN196607 PQI196607:PQJ196607 QAE196607:QAF196607 QKA196607:QKB196607 QTW196607:QTX196607 RDS196607:RDT196607 RNO196607:RNP196607 RXK196607:RXL196607 SHG196607:SHH196607 SRC196607:SRD196607 TAY196607:TAZ196607 TKU196607:TKV196607 TUQ196607:TUR196607 UEM196607:UEN196607 UOI196607:UOJ196607 UYE196607:UYF196607 VIA196607:VIB196607 VRW196607:VRX196607 WBS196607:WBT196607 WLO196607:WLP196607 WVK196607:WVL196607 IY262143:IZ262143 SU262143:SV262143 ACQ262143:ACR262143 AMM262143:AMN262143 AWI262143:AWJ262143 BGE262143:BGF262143 BQA262143:BQB262143 BZW262143:BZX262143 CJS262143:CJT262143 CTO262143:CTP262143 DDK262143:DDL262143 DNG262143:DNH262143 DXC262143:DXD262143 EGY262143:EGZ262143 EQU262143:EQV262143 FAQ262143:FAR262143 FKM262143:FKN262143 FUI262143:FUJ262143 GEE262143:GEF262143 GOA262143:GOB262143 GXW262143:GXX262143 HHS262143:HHT262143 HRO262143:HRP262143 IBK262143:IBL262143 ILG262143:ILH262143 IVC262143:IVD262143 JEY262143:JEZ262143 JOU262143:JOV262143 JYQ262143:JYR262143 KIM262143:KIN262143 KSI262143:KSJ262143 LCE262143:LCF262143 LMA262143:LMB262143 LVW262143:LVX262143 MFS262143:MFT262143 MPO262143:MPP262143 MZK262143:MZL262143 NJG262143:NJH262143 NTC262143:NTD262143 OCY262143:OCZ262143 OMU262143:OMV262143 OWQ262143:OWR262143 PGM262143:PGN262143 PQI262143:PQJ262143 QAE262143:QAF262143 QKA262143:QKB262143 QTW262143:QTX262143 RDS262143:RDT262143 RNO262143:RNP262143 RXK262143:RXL262143 SHG262143:SHH262143 SRC262143:SRD262143 TAY262143:TAZ262143 TKU262143:TKV262143 TUQ262143:TUR262143 UEM262143:UEN262143 UOI262143:UOJ262143 UYE262143:UYF262143 VIA262143:VIB262143 VRW262143:VRX262143 WBS262143:WBT262143 WLO262143:WLP262143 WVK262143:WVL262143 IY327679:IZ327679 SU327679:SV327679 ACQ327679:ACR327679 AMM327679:AMN327679 AWI327679:AWJ327679 BGE327679:BGF327679 BQA327679:BQB327679 BZW327679:BZX327679 CJS327679:CJT327679 CTO327679:CTP327679 DDK327679:DDL327679 DNG327679:DNH327679 DXC327679:DXD327679 EGY327679:EGZ327679 EQU327679:EQV327679 FAQ327679:FAR327679 FKM327679:FKN327679 FUI327679:FUJ327679 GEE327679:GEF327679 GOA327679:GOB327679 GXW327679:GXX327679 HHS327679:HHT327679 HRO327679:HRP327679 IBK327679:IBL327679 ILG327679:ILH327679 IVC327679:IVD327679 JEY327679:JEZ327679 JOU327679:JOV327679 JYQ327679:JYR327679 KIM327679:KIN327679 KSI327679:KSJ327679 LCE327679:LCF327679 LMA327679:LMB327679 LVW327679:LVX327679 MFS327679:MFT327679 MPO327679:MPP327679 MZK327679:MZL327679 NJG327679:NJH327679 NTC327679:NTD327679 OCY327679:OCZ327679 OMU327679:OMV327679 OWQ327679:OWR327679 PGM327679:PGN327679 PQI327679:PQJ327679 QAE327679:QAF327679 QKA327679:QKB327679 QTW327679:QTX327679 RDS327679:RDT327679 RNO327679:RNP327679 RXK327679:RXL327679 SHG327679:SHH327679 SRC327679:SRD327679 TAY327679:TAZ327679 TKU327679:TKV327679 TUQ327679:TUR327679 UEM327679:UEN327679 UOI327679:UOJ327679 UYE327679:UYF327679 VIA327679:VIB327679 VRW327679:VRX327679 WBS327679:WBT327679 WLO327679:WLP327679 WVK327679:WVL327679 IY393215:IZ393215 SU393215:SV393215 ACQ393215:ACR393215 AMM393215:AMN393215 AWI393215:AWJ393215 BGE393215:BGF393215 BQA393215:BQB393215 BZW393215:BZX393215 CJS393215:CJT393215 CTO393215:CTP393215 DDK393215:DDL393215 DNG393215:DNH393215 DXC393215:DXD393215 EGY393215:EGZ393215 EQU393215:EQV393215 FAQ393215:FAR393215 FKM393215:FKN393215 FUI393215:FUJ393215 GEE393215:GEF393215 GOA393215:GOB393215 GXW393215:GXX393215 HHS393215:HHT393215 HRO393215:HRP393215 IBK393215:IBL393215 ILG393215:ILH393215 IVC393215:IVD393215 JEY393215:JEZ393215 JOU393215:JOV393215 JYQ393215:JYR393215 KIM393215:KIN393215 KSI393215:KSJ393215 LCE393215:LCF393215 LMA393215:LMB393215 LVW393215:LVX393215 MFS393215:MFT393215 MPO393215:MPP393215 MZK393215:MZL393215 NJG393215:NJH393215 NTC393215:NTD393215 OCY393215:OCZ393215 OMU393215:OMV393215 OWQ393215:OWR393215 PGM393215:PGN393215 PQI393215:PQJ393215 QAE393215:QAF393215 QKA393215:QKB393215 QTW393215:QTX393215 RDS393215:RDT393215 RNO393215:RNP393215 RXK393215:RXL393215 SHG393215:SHH393215 SRC393215:SRD393215 TAY393215:TAZ393215 TKU393215:TKV393215 TUQ393215:TUR393215 UEM393215:UEN393215 UOI393215:UOJ393215 UYE393215:UYF393215 VIA393215:VIB393215 VRW393215:VRX393215 WBS393215:WBT393215 WLO393215:WLP393215 WVK393215:WVL393215 IY458751:IZ458751 SU458751:SV458751 ACQ458751:ACR458751 AMM458751:AMN458751 AWI458751:AWJ458751 BGE458751:BGF458751 BQA458751:BQB458751 BZW458751:BZX458751 CJS458751:CJT458751 CTO458751:CTP458751 DDK458751:DDL458751 DNG458751:DNH458751 DXC458751:DXD458751 EGY458751:EGZ458751 EQU458751:EQV458751 FAQ458751:FAR458751 FKM458751:FKN458751 FUI458751:FUJ458751 GEE458751:GEF458751 GOA458751:GOB458751 GXW458751:GXX458751 HHS458751:HHT458751 HRO458751:HRP458751 IBK458751:IBL458751 ILG458751:ILH458751 IVC458751:IVD458751 JEY458751:JEZ458751 JOU458751:JOV458751 JYQ458751:JYR458751 KIM458751:KIN458751 KSI458751:KSJ458751 LCE458751:LCF458751 LMA458751:LMB458751 LVW458751:LVX458751 MFS458751:MFT458751 MPO458751:MPP458751 MZK458751:MZL458751 NJG458751:NJH458751 NTC458751:NTD458751 OCY458751:OCZ458751 OMU458751:OMV458751 OWQ458751:OWR458751 PGM458751:PGN458751 PQI458751:PQJ458751 QAE458751:QAF458751 QKA458751:QKB458751 QTW458751:QTX458751 RDS458751:RDT458751 RNO458751:RNP458751 RXK458751:RXL458751 SHG458751:SHH458751 SRC458751:SRD458751 TAY458751:TAZ458751 TKU458751:TKV458751 TUQ458751:TUR458751 UEM458751:UEN458751 UOI458751:UOJ458751 UYE458751:UYF458751 VIA458751:VIB458751 VRW458751:VRX458751 WBS458751:WBT458751 WLO458751:WLP458751 WVK458751:WVL458751 IY524287:IZ524287 SU524287:SV524287 ACQ524287:ACR524287 AMM524287:AMN524287 AWI524287:AWJ524287 BGE524287:BGF524287 BQA524287:BQB524287 BZW524287:BZX524287 CJS524287:CJT524287 CTO524287:CTP524287 DDK524287:DDL524287 DNG524287:DNH524287 DXC524287:DXD524287 EGY524287:EGZ524287 EQU524287:EQV524287 FAQ524287:FAR524287 FKM524287:FKN524287 FUI524287:FUJ524287 GEE524287:GEF524287 GOA524287:GOB524287 GXW524287:GXX524287 HHS524287:HHT524287 HRO524287:HRP524287 IBK524287:IBL524287 ILG524287:ILH524287 IVC524287:IVD524287 JEY524287:JEZ524287 JOU524287:JOV524287 JYQ524287:JYR524287 KIM524287:KIN524287 KSI524287:KSJ524287 LCE524287:LCF524287 LMA524287:LMB524287 LVW524287:LVX524287 MFS524287:MFT524287 MPO524287:MPP524287 MZK524287:MZL524287 NJG524287:NJH524287 NTC524287:NTD524287 OCY524287:OCZ524287 OMU524287:OMV524287 OWQ524287:OWR524287 PGM524287:PGN524287 PQI524287:PQJ524287 QAE524287:QAF524287 QKA524287:QKB524287 QTW524287:QTX524287 RDS524287:RDT524287 RNO524287:RNP524287 RXK524287:RXL524287 SHG524287:SHH524287 SRC524287:SRD524287 TAY524287:TAZ524287 TKU524287:TKV524287 TUQ524287:TUR524287 UEM524287:UEN524287 UOI524287:UOJ524287 UYE524287:UYF524287 VIA524287:VIB524287 VRW524287:VRX524287 WBS524287:WBT524287 WLO524287:WLP524287 WVK524287:WVL524287 IY589823:IZ589823 SU589823:SV589823 ACQ589823:ACR589823 AMM589823:AMN589823 AWI589823:AWJ589823 BGE589823:BGF589823 BQA589823:BQB589823 BZW589823:BZX589823 CJS589823:CJT589823 CTO589823:CTP589823 DDK589823:DDL589823 DNG589823:DNH589823 DXC589823:DXD589823 EGY589823:EGZ589823 EQU589823:EQV589823 FAQ589823:FAR589823 FKM589823:FKN589823 FUI589823:FUJ589823 GEE589823:GEF589823 GOA589823:GOB589823 GXW589823:GXX589823 HHS589823:HHT589823 HRO589823:HRP589823 IBK589823:IBL589823 ILG589823:ILH589823 IVC589823:IVD589823 JEY589823:JEZ589823 JOU589823:JOV589823 JYQ589823:JYR589823 KIM589823:KIN589823 KSI589823:KSJ589823 LCE589823:LCF589823 LMA589823:LMB589823 LVW589823:LVX589823 MFS589823:MFT589823 MPO589823:MPP589823 MZK589823:MZL589823 NJG589823:NJH589823 NTC589823:NTD589823 OCY589823:OCZ589823 OMU589823:OMV589823 OWQ589823:OWR589823 PGM589823:PGN589823 PQI589823:PQJ589823 QAE589823:QAF589823 QKA589823:QKB589823 QTW589823:QTX589823 RDS589823:RDT589823 RNO589823:RNP589823 RXK589823:RXL589823 SHG589823:SHH589823 SRC589823:SRD589823 TAY589823:TAZ589823 TKU589823:TKV589823 TUQ589823:TUR589823 UEM589823:UEN589823 UOI589823:UOJ589823 UYE589823:UYF589823 VIA589823:VIB589823 VRW589823:VRX589823 WBS589823:WBT589823 WLO589823:WLP589823 WVK589823:WVL589823 IY655359:IZ655359 SU655359:SV655359 ACQ655359:ACR655359 AMM655359:AMN655359 AWI655359:AWJ655359 BGE655359:BGF655359 BQA655359:BQB655359 BZW655359:BZX655359 CJS655359:CJT655359 CTO655359:CTP655359 DDK655359:DDL655359 DNG655359:DNH655359 DXC655359:DXD655359 EGY655359:EGZ655359 EQU655359:EQV655359 FAQ655359:FAR655359 FKM655359:FKN655359 FUI655359:FUJ655359 GEE655359:GEF655359 GOA655359:GOB655359 GXW655359:GXX655359 HHS655359:HHT655359 HRO655359:HRP655359 IBK655359:IBL655359 ILG655359:ILH655359 IVC655359:IVD655359 JEY655359:JEZ655359 JOU655359:JOV655359 JYQ655359:JYR655359 KIM655359:KIN655359 KSI655359:KSJ655359 LCE655359:LCF655359 LMA655359:LMB655359 LVW655359:LVX655359 MFS655359:MFT655359 MPO655359:MPP655359 MZK655359:MZL655359 NJG655359:NJH655359 NTC655359:NTD655359 OCY655359:OCZ655359 OMU655359:OMV655359 OWQ655359:OWR655359 PGM655359:PGN655359 PQI655359:PQJ655359 QAE655359:QAF655359 QKA655359:QKB655359 QTW655359:QTX655359 RDS655359:RDT655359 RNO655359:RNP655359 RXK655359:RXL655359 SHG655359:SHH655359 SRC655359:SRD655359 TAY655359:TAZ655359 TKU655359:TKV655359 TUQ655359:TUR655359 UEM655359:UEN655359 UOI655359:UOJ655359 UYE655359:UYF655359 VIA655359:VIB655359 VRW655359:VRX655359 WBS655359:WBT655359 WLO655359:WLP655359 WVK655359:WVL655359 IY720895:IZ720895 SU720895:SV720895 ACQ720895:ACR720895 AMM720895:AMN720895 AWI720895:AWJ720895 BGE720895:BGF720895 BQA720895:BQB720895 BZW720895:BZX720895 CJS720895:CJT720895 CTO720895:CTP720895 DDK720895:DDL720895 DNG720895:DNH720895 DXC720895:DXD720895 EGY720895:EGZ720895 EQU720895:EQV720895 FAQ720895:FAR720895 FKM720895:FKN720895 FUI720895:FUJ720895 GEE720895:GEF720895 GOA720895:GOB720895 GXW720895:GXX720895 HHS720895:HHT720895 HRO720895:HRP720895 IBK720895:IBL720895 ILG720895:ILH720895 IVC720895:IVD720895 JEY720895:JEZ720895 JOU720895:JOV720895 JYQ720895:JYR720895 KIM720895:KIN720895 KSI720895:KSJ720895 LCE720895:LCF720895 LMA720895:LMB720895 LVW720895:LVX720895 MFS720895:MFT720895 MPO720895:MPP720895 MZK720895:MZL720895 NJG720895:NJH720895 NTC720895:NTD720895 OCY720895:OCZ720895 OMU720895:OMV720895 OWQ720895:OWR720895 PGM720895:PGN720895 PQI720895:PQJ720895 QAE720895:QAF720895 QKA720895:QKB720895 QTW720895:QTX720895 RDS720895:RDT720895 RNO720895:RNP720895 RXK720895:RXL720895 SHG720895:SHH720895 SRC720895:SRD720895 TAY720895:TAZ720895 TKU720895:TKV720895 TUQ720895:TUR720895 UEM720895:UEN720895 UOI720895:UOJ720895 UYE720895:UYF720895 VIA720895:VIB720895 VRW720895:VRX720895 WBS720895:WBT720895 WLO720895:WLP720895 WVK720895:WVL720895 IY786431:IZ786431 SU786431:SV786431 ACQ786431:ACR786431 AMM786431:AMN786431 AWI786431:AWJ786431 BGE786431:BGF786431 BQA786431:BQB786431 BZW786431:BZX786431 CJS786431:CJT786431 CTO786431:CTP786431 DDK786431:DDL786431 DNG786431:DNH786431 DXC786431:DXD786431 EGY786431:EGZ786431 EQU786431:EQV786431 FAQ786431:FAR786431 FKM786431:FKN786431 FUI786431:FUJ786431 GEE786431:GEF786431 GOA786431:GOB786431 GXW786431:GXX786431 HHS786431:HHT786431 HRO786431:HRP786431 IBK786431:IBL786431 ILG786431:ILH786431 IVC786431:IVD786431 JEY786431:JEZ786431 JOU786431:JOV786431 JYQ786431:JYR786431 KIM786431:KIN786431 KSI786431:KSJ786431 LCE786431:LCF786431 LMA786431:LMB786431 LVW786431:LVX786431 MFS786431:MFT786431 MPO786431:MPP786431 MZK786431:MZL786431 NJG786431:NJH786431 NTC786431:NTD786431 OCY786431:OCZ786431 OMU786431:OMV786431 OWQ786431:OWR786431 PGM786431:PGN786431 PQI786431:PQJ786431 QAE786431:QAF786431 QKA786431:QKB786431 QTW786431:QTX786431 RDS786431:RDT786431 RNO786431:RNP786431 RXK786431:RXL786431 SHG786431:SHH786431 SRC786431:SRD786431 TAY786431:TAZ786431 TKU786431:TKV786431 TUQ786431:TUR786431 UEM786431:UEN786431 UOI786431:UOJ786431 UYE786431:UYF786431 VIA786431:VIB786431 VRW786431:VRX786431 WBS786431:WBT786431 WLO786431:WLP786431 WVK786431:WVL786431 IY851967:IZ851967 SU851967:SV851967 ACQ851967:ACR851967 AMM851967:AMN851967 AWI851967:AWJ851967 BGE851967:BGF851967 BQA851967:BQB851967 BZW851967:BZX851967 CJS851967:CJT851967 CTO851967:CTP851967 DDK851967:DDL851967 DNG851967:DNH851967 DXC851967:DXD851967 EGY851967:EGZ851967 EQU851967:EQV851967 FAQ851967:FAR851967 FKM851967:FKN851967 FUI851967:FUJ851967 GEE851967:GEF851967 GOA851967:GOB851967 GXW851967:GXX851967 HHS851967:HHT851967 HRO851967:HRP851967 IBK851967:IBL851967 ILG851967:ILH851967 IVC851967:IVD851967 JEY851967:JEZ851967 JOU851967:JOV851967 JYQ851967:JYR851967 KIM851967:KIN851967 KSI851967:KSJ851967 LCE851967:LCF851967 LMA851967:LMB851967 LVW851967:LVX851967 MFS851967:MFT851967 MPO851967:MPP851967 MZK851967:MZL851967 NJG851967:NJH851967 NTC851967:NTD851967 OCY851967:OCZ851967 OMU851967:OMV851967 OWQ851967:OWR851967 PGM851967:PGN851967 PQI851967:PQJ851967 QAE851967:QAF851967 QKA851967:QKB851967 QTW851967:QTX851967 RDS851967:RDT851967 RNO851967:RNP851967 RXK851967:RXL851967 SHG851967:SHH851967 SRC851967:SRD851967 TAY851967:TAZ851967 TKU851967:TKV851967 TUQ851967:TUR851967 UEM851967:UEN851967 UOI851967:UOJ851967 UYE851967:UYF851967 VIA851967:VIB851967 VRW851967:VRX851967 WBS851967:WBT851967 WLO851967:WLP851967 WVK851967:WVL851967 IY917503:IZ917503 SU917503:SV917503 ACQ917503:ACR917503 AMM917503:AMN917503 AWI917503:AWJ917503 BGE917503:BGF917503 BQA917503:BQB917503 BZW917503:BZX917503 CJS917503:CJT917503 CTO917503:CTP917503 DDK917503:DDL917503 DNG917503:DNH917503 DXC917503:DXD917503 EGY917503:EGZ917503 EQU917503:EQV917503 FAQ917503:FAR917503 FKM917503:FKN917503 FUI917503:FUJ917503 GEE917503:GEF917503 GOA917503:GOB917503 GXW917503:GXX917503 HHS917503:HHT917503 HRO917503:HRP917503 IBK917503:IBL917503 ILG917503:ILH917503 IVC917503:IVD917503 JEY917503:JEZ917503 JOU917503:JOV917503 JYQ917503:JYR917503 KIM917503:KIN917503 KSI917503:KSJ917503 LCE917503:LCF917503 LMA917503:LMB917503 LVW917503:LVX917503 MFS917503:MFT917503 MPO917503:MPP917503 MZK917503:MZL917503 NJG917503:NJH917503 NTC917503:NTD917503 OCY917503:OCZ917503 OMU917503:OMV917503 OWQ917503:OWR917503 PGM917503:PGN917503 PQI917503:PQJ917503 QAE917503:QAF917503 QKA917503:QKB917503 QTW917503:QTX917503 RDS917503:RDT917503 RNO917503:RNP917503 RXK917503:RXL917503 SHG917503:SHH917503 SRC917503:SRD917503 TAY917503:TAZ917503 TKU917503:TKV917503 TUQ917503:TUR917503 UEM917503:UEN917503 UOI917503:UOJ917503 UYE917503:UYF917503 VIA917503:VIB917503 VRW917503:VRX917503 WBS917503:WBT917503 WLO917503:WLP917503 WVK917503:WVL917503 IY983039:IZ983039 SU983039:SV983039 ACQ983039:ACR983039 AMM983039:AMN983039 AWI983039:AWJ983039 BGE983039:BGF983039 BQA983039:BQB983039 BZW983039:BZX983039 CJS983039:CJT983039 CTO983039:CTP983039 DDK983039:DDL983039 DNG983039:DNH983039 DXC983039:DXD983039 EGY983039:EGZ983039 EQU983039:EQV983039 FAQ983039:FAR983039 FKM983039:FKN983039 FUI983039:FUJ983039 GEE983039:GEF983039 GOA983039:GOB983039 GXW983039:GXX983039 HHS983039:HHT983039 HRO983039:HRP983039 IBK983039:IBL983039 ILG983039:ILH983039 IVC983039:IVD983039 JEY983039:JEZ983039 JOU983039:JOV983039 JYQ983039:JYR983039 KIM983039:KIN983039 KSI983039:KSJ983039 LCE983039:LCF983039 LMA983039:LMB983039 LVW983039:LVX983039 MFS983039:MFT983039 MPO983039:MPP983039 MZK983039:MZL983039 NJG983039:NJH983039 NTC983039:NTD983039 OCY983039:OCZ983039 OMU983039:OMV983039 OWQ983039:OWR983039 PGM983039:PGN983039 PQI983039:PQJ983039 QAE983039:QAF983039 QKA983039:QKB983039 QTW983039:QTX983039 RDS983039:RDT983039 RNO983039:RNP983039 RXK983039:RXL983039 SHG983039:SHH983039 SRC983039:SRD983039 TAY983039:TAZ983039 TKU983039:TKV983039 TUQ983039:TUR983039 UEM983039:UEN983039 UOI983039:UOJ983039 UYE983039:UYF983039 VIA983039:VIB983039 VRW983039:VRX983039 WBS983039:WBT983039 WLO983039:WLP983039 WVK983039:WVL983039 IY11:IZ20 F65535 F131071 F196607 F262143 F327679 F393215 F458751 F524287 F589823 F655359 F720895 F786431 F851967 F917503 F983039 C983039:D983039 C917503:D917503 C851967:D851967 C786431:D786431 C720895:D720895 C655359:D655359 C589823:D589823 C524287:D524287 C458751:D458751 C393215:D393215 C327679:D327679 C262143:D262143 C196607:D196607 C131071:D131071" xr:uid="{00000000-0002-0000-0000-000000000000}">
      <formula1>#REF!</formula1>
    </dataValidation>
    <dataValidation type="whole" allowBlank="1" showInputMessage="1" showErrorMessage="1" prompt="ID ou Chapa: Número de 7 dígitos referente à matrícula na empresa." sqref="WVK983026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22 IY65522 SU65522 ACQ65522 AMM65522 AWI65522 BGE65522 BQA65522 BZW65522 CJS65522 CTO65522 DDK65522 DNG65522 DXC65522 EGY65522 EQU65522 FAQ65522 FKM65522 FUI65522 GEE65522 GOA65522 GXW65522 HHS65522 HRO65522 IBK65522 ILG65522 IVC65522 JEY65522 JOU65522 JYQ65522 KIM65522 KSI65522 LCE65522 LMA65522 LVW65522 MFS65522 MPO65522 MZK65522 NJG65522 NTC65522 OCY65522 OMU65522 OWQ65522 PGM65522 PQI65522 QAE65522 QKA65522 QTW65522 RDS65522 RNO65522 RXK65522 SHG65522 SRC65522 TAY65522 TKU65522 TUQ65522 UEM65522 UOI65522 UYE65522 VIA65522 VRW65522 WBS65522 WLO65522 WVK65522 C131058 IY131058 SU131058 ACQ131058 AMM131058 AWI131058 BGE131058 BQA131058 BZW131058 CJS131058 CTO131058 DDK131058 DNG131058 DXC131058 EGY131058 EQU131058 FAQ131058 FKM131058 FUI131058 GEE131058 GOA131058 GXW131058 HHS131058 HRO131058 IBK131058 ILG131058 IVC131058 JEY131058 JOU131058 JYQ131058 KIM131058 KSI131058 LCE131058 LMA131058 LVW131058 MFS131058 MPO131058 MZK131058 NJG131058 NTC131058 OCY131058 OMU131058 OWQ131058 PGM131058 PQI131058 QAE131058 QKA131058 QTW131058 RDS131058 RNO131058 RXK131058 SHG131058 SRC131058 TAY131058 TKU131058 TUQ131058 UEM131058 UOI131058 UYE131058 VIA131058 VRW131058 WBS131058 WLO131058 WVK131058 C196594 IY196594 SU196594 ACQ196594 AMM196594 AWI196594 BGE196594 BQA196594 BZW196594 CJS196594 CTO196594 DDK196594 DNG196594 DXC196594 EGY196594 EQU196594 FAQ196594 FKM196594 FUI196594 GEE196594 GOA196594 GXW196594 HHS196594 HRO196594 IBK196594 ILG196594 IVC196594 JEY196594 JOU196594 JYQ196594 KIM196594 KSI196594 LCE196594 LMA196594 LVW196594 MFS196594 MPO196594 MZK196594 NJG196594 NTC196594 OCY196594 OMU196594 OWQ196594 PGM196594 PQI196594 QAE196594 QKA196594 QTW196594 RDS196594 RNO196594 RXK196594 SHG196594 SRC196594 TAY196594 TKU196594 TUQ196594 UEM196594 UOI196594 UYE196594 VIA196594 VRW196594 WBS196594 WLO196594 WVK196594 C262130 IY262130 SU262130 ACQ262130 AMM262130 AWI262130 BGE262130 BQA262130 BZW262130 CJS262130 CTO262130 DDK262130 DNG262130 DXC262130 EGY262130 EQU262130 FAQ262130 FKM262130 FUI262130 GEE262130 GOA262130 GXW262130 HHS262130 HRO262130 IBK262130 ILG262130 IVC262130 JEY262130 JOU262130 JYQ262130 KIM262130 KSI262130 LCE262130 LMA262130 LVW262130 MFS262130 MPO262130 MZK262130 NJG262130 NTC262130 OCY262130 OMU262130 OWQ262130 PGM262130 PQI262130 QAE262130 QKA262130 QTW262130 RDS262130 RNO262130 RXK262130 SHG262130 SRC262130 TAY262130 TKU262130 TUQ262130 UEM262130 UOI262130 UYE262130 VIA262130 VRW262130 WBS262130 WLO262130 WVK262130 C327666 IY327666 SU327666 ACQ327666 AMM327666 AWI327666 BGE327666 BQA327666 BZW327666 CJS327666 CTO327666 DDK327666 DNG327666 DXC327666 EGY327666 EQU327666 FAQ327666 FKM327666 FUI327666 GEE327666 GOA327666 GXW327666 HHS327666 HRO327666 IBK327666 ILG327666 IVC327666 JEY327666 JOU327666 JYQ327666 KIM327666 KSI327666 LCE327666 LMA327666 LVW327666 MFS327666 MPO327666 MZK327666 NJG327666 NTC327666 OCY327666 OMU327666 OWQ327666 PGM327666 PQI327666 QAE327666 QKA327666 QTW327666 RDS327666 RNO327666 RXK327666 SHG327666 SRC327666 TAY327666 TKU327666 TUQ327666 UEM327666 UOI327666 UYE327666 VIA327666 VRW327666 WBS327666 WLO327666 WVK327666 C393202 IY393202 SU393202 ACQ393202 AMM393202 AWI393202 BGE393202 BQA393202 BZW393202 CJS393202 CTO393202 DDK393202 DNG393202 DXC393202 EGY393202 EQU393202 FAQ393202 FKM393202 FUI393202 GEE393202 GOA393202 GXW393202 HHS393202 HRO393202 IBK393202 ILG393202 IVC393202 JEY393202 JOU393202 JYQ393202 KIM393202 KSI393202 LCE393202 LMA393202 LVW393202 MFS393202 MPO393202 MZK393202 NJG393202 NTC393202 OCY393202 OMU393202 OWQ393202 PGM393202 PQI393202 QAE393202 QKA393202 QTW393202 RDS393202 RNO393202 RXK393202 SHG393202 SRC393202 TAY393202 TKU393202 TUQ393202 UEM393202 UOI393202 UYE393202 VIA393202 VRW393202 WBS393202 WLO393202 WVK393202 C458738 IY458738 SU458738 ACQ458738 AMM458738 AWI458738 BGE458738 BQA458738 BZW458738 CJS458738 CTO458738 DDK458738 DNG458738 DXC458738 EGY458738 EQU458738 FAQ458738 FKM458738 FUI458738 GEE458738 GOA458738 GXW458738 HHS458738 HRO458738 IBK458738 ILG458738 IVC458738 JEY458738 JOU458738 JYQ458738 KIM458738 KSI458738 LCE458738 LMA458738 LVW458738 MFS458738 MPO458738 MZK458738 NJG458738 NTC458738 OCY458738 OMU458738 OWQ458738 PGM458738 PQI458738 QAE458738 QKA458738 QTW458738 RDS458738 RNO458738 RXK458738 SHG458738 SRC458738 TAY458738 TKU458738 TUQ458738 UEM458738 UOI458738 UYE458738 VIA458738 VRW458738 WBS458738 WLO458738 WVK458738 C524274 IY524274 SU524274 ACQ524274 AMM524274 AWI524274 BGE524274 BQA524274 BZW524274 CJS524274 CTO524274 DDK524274 DNG524274 DXC524274 EGY524274 EQU524274 FAQ524274 FKM524274 FUI524274 GEE524274 GOA524274 GXW524274 HHS524274 HRO524274 IBK524274 ILG524274 IVC524274 JEY524274 JOU524274 JYQ524274 KIM524274 KSI524274 LCE524274 LMA524274 LVW524274 MFS524274 MPO524274 MZK524274 NJG524274 NTC524274 OCY524274 OMU524274 OWQ524274 PGM524274 PQI524274 QAE524274 QKA524274 QTW524274 RDS524274 RNO524274 RXK524274 SHG524274 SRC524274 TAY524274 TKU524274 TUQ524274 UEM524274 UOI524274 UYE524274 VIA524274 VRW524274 WBS524274 WLO524274 WVK524274 C589810 IY589810 SU589810 ACQ589810 AMM589810 AWI589810 BGE589810 BQA589810 BZW589810 CJS589810 CTO589810 DDK589810 DNG589810 DXC589810 EGY589810 EQU589810 FAQ589810 FKM589810 FUI589810 GEE589810 GOA589810 GXW589810 HHS589810 HRO589810 IBK589810 ILG589810 IVC589810 JEY589810 JOU589810 JYQ589810 KIM589810 KSI589810 LCE589810 LMA589810 LVW589810 MFS589810 MPO589810 MZK589810 NJG589810 NTC589810 OCY589810 OMU589810 OWQ589810 PGM589810 PQI589810 QAE589810 QKA589810 QTW589810 RDS589810 RNO589810 RXK589810 SHG589810 SRC589810 TAY589810 TKU589810 TUQ589810 UEM589810 UOI589810 UYE589810 VIA589810 VRW589810 WBS589810 WLO589810 WVK589810 C655346 IY655346 SU655346 ACQ655346 AMM655346 AWI655346 BGE655346 BQA655346 BZW655346 CJS655346 CTO655346 DDK655346 DNG655346 DXC655346 EGY655346 EQU655346 FAQ655346 FKM655346 FUI655346 GEE655346 GOA655346 GXW655346 HHS655346 HRO655346 IBK655346 ILG655346 IVC655346 JEY655346 JOU655346 JYQ655346 KIM655346 KSI655346 LCE655346 LMA655346 LVW655346 MFS655346 MPO655346 MZK655346 NJG655346 NTC655346 OCY655346 OMU655346 OWQ655346 PGM655346 PQI655346 QAE655346 QKA655346 QTW655346 RDS655346 RNO655346 RXK655346 SHG655346 SRC655346 TAY655346 TKU655346 TUQ655346 UEM655346 UOI655346 UYE655346 VIA655346 VRW655346 WBS655346 WLO655346 WVK655346 C720882 IY720882 SU720882 ACQ720882 AMM720882 AWI720882 BGE720882 BQA720882 BZW720882 CJS720882 CTO720882 DDK720882 DNG720882 DXC720882 EGY720882 EQU720882 FAQ720882 FKM720882 FUI720882 GEE720882 GOA720882 GXW720882 HHS720882 HRO720882 IBK720882 ILG720882 IVC720882 JEY720882 JOU720882 JYQ720882 KIM720882 KSI720882 LCE720882 LMA720882 LVW720882 MFS720882 MPO720882 MZK720882 NJG720882 NTC720882 OCY720882 OMU720882 OWQ720882 PGM720882 PQI720882 QAE720882 QKA720882 QTW720882 RDS720882 RNO720882 RXK720882 SHG720882 SRC720882 TAY720882 TKU720882 TUQ720882 UEM720882 UOI720882 UYE720882 VIA720882 VRW720882 WBS720882 WLO720882 WVK720882 C786418 IY786418 SU786418 ACQ786418 AMM786418 AWI786418 BGE786418 BQA786418 BZW786418 CJS786418 CTO786418 DDK786418 DNG786418 DXC786418 EGY786418 EQU786418 FAQ786418 FKM786418 FUI786418 GEE786418 GOA786418 GXW786418 HHS786418 HRO786418 IBK786418 ILG786418 IVC786418 JEY786418 JOU786418 JYQ786418 KIM786418 KSI786418 LCE786418 LMA786418 LVW786418 MFS786418 MPO786418 MZK786418 NJG786418 NTC786418 OCY786418 OMU786418 OWQ786418 PGM786418 PQI786418 QAE786418 QKA786418 QTW786418 RDS786418 RNO786418 RXK786418 SHG786418 SRC786418 TAY786418 TKU786418 TUQ786418 UEM786418 UOI786418 UYE786418 VIA786418 VRW786418 WBS786418 WLO786418 WVK786418 C851954 IY851954 SU851954 ACQ851954 AMM851954 AWI851954 BGE851954 BQA851954 BZW851954 CJS851954 CTO851954 DDK851954 DNG851954 DXC851954 EGY851954 EQU851954 FAQ851954 FKM851954 FUI851954 GEE851954 GOA851954 GXW851954 HHS851954 HRO851954 IBK851954 ILG851954 IVC851954 JEY851954 JOU851954 JYQ851954 KIM851954 KSI851954 LCE851954 LMA851954 LVW851954 MFS851954 MPO851954 MZK851954 NJG851954 NTC851954 OCY851954 OMU851954 OWQ851954 PGM851954 PQI851954 QAE851954 QKA851954 QTW851954 RDS851954 RNO851954 RXK851954 SHG851954 SRC851954 TAY851954 TKU851954 TUQ851954 UEM851954 UOI851954 UYE851954 VIA851954 VRW851954 WBS851954 WLO851954 WVK851954 C917490 IY917490 SU917490 ACQ917490 AMM917490 AWI917490 BGE917490 BQA917490 BZW917490 CJS917490 CTO917490 DDK917490 DNG917490 DXC917490 EGY917490 EQU917490 FAQ917490 FKM917490 FUI917490 GEE917490 GOA917490 GXW917490 HHS917490 HRO917490 IBK917490 ILG917490 IVC917490 JEY917490 JOU917490 JYQ917490 KIM917490 KSI917490 LCE917490 LMA917490 LVW917490 MFS917490 MPO917490 MZK917490 NJG917490 NTC917490 OCY917490 OMU917490 OWQ917490 PGM917490 PQI917490 QAE917490 QKA917490 QTW917490 RDS917490 RNO917490 RXK917490 SHG917490 SRC917490 TAY917490 TKU917490 TUQ917490 UEM917490 UOI917490 UYE917490 VIA917490 VRW917490 WBS917490 WLO917490 WVK917490 C983026 IY983026 SU983026 ACQ983026 AMM983026 AWI983026 BGE983026 BQA983026 BZW983026 CJS983026 CTO983026 DDK983026 DNG983026 DXC983026 EGY983026 EQU983026 FAQ983026 FKM983026 FUI983026 GEE983026 GOA983026 GXW983026 HHS983026 HRO983026 IBK983026 ILG983026 IVC983026 JEY983026 JOU983026 JYQ983026 KIM983026 KSI983026 LCE983026 LMA983026 LVW983026 MFS983026 MPO983026 MZK983026 NJG983026 NTC983026 OCY983026 OMU983026 OWQ983026 PGM983026 PQI983026 QAE983026 QKA983026 QTW983026 RDS983026 RNO983026 RXK983026 SHG983026 SRC983026 TAY983026 TKU983026 TUQ983026 UEM983026 UOI983026 UYE983026 VIA983026 VRW983026 WBS983026 WLO983026" xr:uid="{00000000-0002-0000-0000-000001000000}">
      <formula1>1000000</formula1>
      <formula2>1009999</formula2>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23:T65523 JL65523:JP65523 TH65523:TL65523 ADD65523:ADH65523 AMZ65523:AND65523 AWV65523:AWZ65523 BGR65523:BGV65523 BQN65523:BQR65523 CAJ65523:CAN65523 CKF65523:CKJ65523 CUB65523:CUF65523 DDX65523:DEB65523 DNT65523:DNX65523 DXP65523:DXT65523 EHL65523:EHP65523 ERH65523:ERL65523 FBD65523:FBH65523 FKZ65523:FLD65523 FUV65523:FUZ65523 GER65523:GEV65523 GON65523:GOR65523 GYJ65523:GYN65523 HIF65523:HIJ65523 HSB65523:HSF65523 IBX65523:ICB65523 ILT65523:ILX65523 IVP65523:IVT65523 JFL65523:JFP65523 JPH65523:JPL65523 JZD65523:JZH65523 KIZ65523:KJD65523 KSV65523:KSZ65523 LCR65523:LCV65523 LMN65523:LMR65523 LWJ65523:LWN65523 MGF65523:MGJ65523 MQB65523:MQF65523 MZX65523:NAB65523 NJT65523:NJX65523 NTP65523:NTT65523 ODL65523:ODP65523 ONH65523:ONL65523 OXD65523:OXH65523 PGZ65523:PHD65523 PQV65523:PQZ65523 QAR65523:QAV65523 QKN65523:QKR65523 QUJ65523:QUN65523 REF65523:REJ65523 ROB65523:ROF65523 RXX65523:RYB65523 SHT65523:SHX65523 SRP65523:SRT65523 TBL65523:TBP65523 TLH65523:TLL65523 TVD65523:TVH65523 UEZ65523:UFD65523 UOV65523:UOZ65523 UYR65523:UYV65523 VIN65523:VIR65523 VSJ65523:VSN65523 WCF65523:WCJ65523 WMB65523:WMF65523 WVX65523:WWB65523 P131059:T131059 JL131059:JP131059 TH131059:TL131059 ADD131059:ADH131059 AMZ131059:AND131059 AWV131059:AWZ131059 BGR131059:BGV131059 BQN131059:BQR131059 CAJ131059:CAN131059 CKF131059:CKJ131059 CUB131059:CUF131059 DDX131059:DEB131059 DNT131059:DNX131059 DXP131059:DXT131059 EHL131059:EHP131059 ERH131059:ERL131059 FBD131059:FBH131059 FKZ131059:FLD131059 FUV131059:FUZ131059 GER131059:GEV131059 GON131059:GOR131059 GYJ131059:GYN131059 HIF131059:HIJ131059 HSB131059:HSF131059 IBX131059:ICB131059 ILT131059:ILX131059 IVP131059:IVT131059 JFL131059:JFP131059 JPH131059:JPL131059 JZD131059:JZH131059 KIZ131059:KJD131059 KSV131059:KSZ131059 LCR131059:LCV131059 LMN131059:LMR131059 LWJ131059:LWN131059 MGF131059:MGJ131059 MQB131059:MQF131059 MZX131059:NAB131059 NJT131059:NJX131059 NTP131059:NTT131059 ODL131059:ODP131059 ONH131059:ONL131059 OXD131059:OXH131059 PGZ131059:PHD131059 PQV131059:PQZ131059 QAR131059:QAV131059 QKN131059:QKR131059 QUJ131059:QUN131059 REF131059:REJ131059 ROB131059:ROF131059 RXX131059:RYB131059 SHT131059:SHX131059 SRP131059:SRT131059 TBL131059:TBP131059 TLH131059:TLL131059 TVD131059:TVH131059 UEZ131059:UFD131059 UOV131059:UOZ131059 UYR131059:UYV131059 VIN131059:VIR131059 VSJ131059:VSN131059 WCF131059:WCJ131059 WMB131059:WMF131059 WVX131059:WWB131059 P196595:T196595 JL196595:JP196595 TH196595:TL196595 ADD196595:ADH196595 AMZ196595:AND196595 AWV196595:AWZ196595 BGR196595:BGV196595 BQN196595:BQR196595 CAJ196595:CAN196595 CKF196595:CKJ196595 CUB196595:CUF196595 DDX196595:DEB196595 DNT196595:DNX196595 DXP196595:DXT196595 EHL196595:EHP196595 ERH196595:ERL196595 FBD196595:FBH196595 FKZ196595:FLD196595 FUV196595:FUZ196595 GER196595:GEV196595 GON196595:GOR196595 GYJ196595:GYN196595 HIF196595:HIJ196595 HSB196595:HSF196595 IBX196595:ICB196595 ILT196595:ILX196595 IVP196595:IVT196595 JFL196595:JFP196595 JPH196595:JPL196595 JZD196595:JZH196595 KIZ196595:KJD196595 KSV196595:KSZ196595 LCR196595:LCV196595 LMN196595:LMR196595 LWJ196595:LWN196595 MGF196595:MGJ196595 MQB196595:MQF196595 MZX196595:NAB196595 NJT196595:NJX196595 NTP196595:NTT196595 ODL196595:ODP196595 ONH196595:ONL196595 OXD196595:OXH196595 PGZ196595:PHD196595 PQV196595:PQZ196595 QAR196595:QAV196595 QKN196595:QKR196595 QUJ196595:QUN196595 REF196595:REJ196595 ROB196595:ROF196595 RXX196595:RYB196595 SHT196595:SHX196595 SRP196595:SRT196595 TBL196595:TBP196595 TLH196595:TLL196595 TVD196595:TVH196595 UEZ196595:UFD196595 UOV196595:UOZ196595 UYR196595:UYV196595 VIN196595:VIR196595 VSJ196595:VSN196595 WCF196595:WCJ196595 WMB196595:WMF196595 WVX196595:WWB196595 P262131:T262131 JL262131:JP262131 TH262131:TL262131 ADD262131:ADH262131 AMZ262131:AND262131 AWV262131:AWZ262131 BGR262131:BGV262131 BQN262131:BQR262131 CAJ262131:CAN262131 CKF262131:CKJ262131 CUB262131:CUF262131 DDX262131:DEB262131 DNT262131:DNX262131 DXP262131:DXT262131 EHL262131:EHP262131 ERH262131:ERL262131 FBD262131:FBH262131 FKZ262131:FLD262131 FUV262131:FUZ262131 GER262131:GEV262131 GON262131:GOR262131 GYJ262131:GYN262131 HIF262131:HIJ262131 HSB262131:HSF262131 IBX262131:ICB262131 ILT262131:ILX262131 IVP262131:IVT262131 JFL262131:JFP262131 JPH262131:JPL262131 JZD262131:JZH262131 KIZ262131:KJD262131 KSV262131:KSZ262131 LCR262131:LCV262131 LMN262131:LMR262131 LWJ262131:LWN262131 MGF262131:MGJ262131 MQB262131:MQF262131 MZX262131:NAB262131 NJT262131:NJX262131 NTP262131:NTT262131 ODL262131:ODP262131 ONH262131:ONL262131 OXD262131:OXH262131 PGZ262131:PHD262131 PQV262131:PQZ262131 QAR262131:QAV262131 QKN262131:QKR262131 QUJ262131:QUN262131 REF262131:REJ262131 ROB262131:ROF262131 RXX262131:RYB262131 SHT262131:SHX262131 SRP262131:SRT262131 TBL262131:TBP262131 TLH262131:TLL262131 TVD262131:TVH262131 UEZ262131:UFD262131 UOV262131:UOZ262131 UYR262131:UYV262131 VIN262131:VIR262131 VSJ262131:VSN262131 WCF262131:WCJ262131 WMB262131:WMF262131 WVX262131:WWB262131 P327667:T327667 JL327667:JP327667 TH327667:TL327667 ADD327667:ADH327667 AMZ327667:AND327667 AWV327667:AWZ327667 BGR327667:BGV327667 BQN327667:BQR327667 CAJ327667:CAN327667 CKF327667:CKJ327667 CUB327667:CUF327667 DDX327667:DEB327667 DNT327667:DNX327667 DXP327667:DXT327667 EHL327667:EHP327667 ERH327667:ERL327667 FBD327667:FBH327667 FKZ327667:FLD327667 FUV327667:FUZ327667 GER327667:GEV327667 GON327667:GOR327667 GYJ327667:GYN327667 HIF327667:HIJ327667 HSB327667:HSF327667 IBX327667:ICB327667 ILT327667:ILX327667 IVP327667:IVT327667 JFL327667:JFP327667 JPH327667:JPL327667 JZD327667:JZH327667 KIZ327667:KJD327667 KSV327667:KSZ327667 LCR327667:LCV327667 LMN327667:LMR327667 LWJ327667:LWN327667 MGF327667:MGJ327667 MQB327667:MQF327667 MZX327667:NAB327667 NJT327667:NJX327667 NTP327667:NTT327667 ODL327667:ODP327667 ONH327667:ONL327667 OXD327667:OXH327667 PGZ327667:PHD327667 PQV327667:PQZ327667 QAR327667:QAV327667 QKN327667:QKR327667 QUJ327667:QUN327667 REF327667:REJ327667 ROB327667:ROF327667 RXX327667:RYB327667 SHT327667:SHX327667 SRP327667:SRT327667 TBL327667:TBP327667 TLH327667:TLL327667 TVD327667:TVH327667 UEZ327667:UFD327667 UOV327667:UOZ327667 UYR327667:UYV327667 VIN327667:VIR327667 VSJ327667:VSN327667 WCF327667:WCJ327667 WMB327667:WMF327667 WVX327667:WWB327667 P393203:T393203 JL393203:JP393203 TH393203:TL393203 ADD393203:ADH393203 AMZ393203:AND393203 AWV393203:AWZ393203 BGR393203:BGV393203 BQN393203:BQR393203 CAJ393203:CAN393203 CKF393203:CKJ393203 CUB393203:CUF393203 DDX393203:DEB393203 DNT393203:DNX393203 DXP393203:DXT393203 EHL393203:EHP393203 ERH393203:ERL393203 FBD393203:FBH393203 FKZ393203:FLD393203 FUV393203:FUZ393203 GER393203:GEV393203 GON393203:GOR393203 GYJ393203:GYN393203 HIF393203:HIJ393203 HSB393203:HSF393203 IBX393203:ICB393203 ILT393203:ILX393203 IVP393203:IVT393203 JFL393203:JFP393203 JPH393203:JPL393203 JZD393203:JZH393203 KIZ393203:KJD393203 KSV393203:KSZ393203 LCR393203:LCV393203 LMN393203:LMR393203 LWJ393203:LWN393203 MGF393203:MGJ393203 MQB393203:MQF393203 MZX393203:NAB393203 NJT393203:NJX393203 NTP393203:NTT393203 ODL393203:ODP393203 ONH393203:ONL393203 OXD393203:OXH393203 PGZ393203:PHD393203 PQV393203:PQZ393203 QAR393203:QAV393203 QKN393203:QKR393203 QUJ393203:QUN393203 REF393203:REJ393203 ROB393203:ROF393203 RXX393203:RYB393203 SHT393203:SHX393203 SRP393203:SRT393203 TBL393203:TBP393203 TLH393203:TLL393203 TVD393203:TVH393203 UEZ393203:UFD393203 UOV393203:UOZ393203 UYR393203:UYV393203 VIN393203:VIR393203 VSJ393203:VSN393203 WCF393203:WCJ393203 WMB393203:WMF393203 WVX393203:WWB393203 P458739:T458739 JL458739:JP458739 TH458739:TL458739 ADD458739:ADH458739 AMZ458739:AND458739 AWV458739:AWZ458739 BGR458739:BGV458739 BQN458739:BQR458739 CAJ458739:CAN458739 CKF458739:CKJ458739 CUB458739:CUF458739 DDX458739:DEB458739 DNT458739:DNX458739 DXP458739:DXT458739 EHL458739:EHP458739 ERH458739:ERL458739 FBD458739:FBH458739 FKZ458739:FLD458739 FUV458739:FUZ458739 GER458739:GEV458739 GON458739:GOR458739 GYJ458739:GYN458739 HIF458739:HIJ458739 HSB458739:HSF458739 IBX458739:ICB458739 ILT458739:ILX458739 IVP458739:IVT458739 JFL458739:JFP458739 JPH458739:JPL458739 JZD458739:JZH458739 KIZ458739:KJD458739 KSV458739:KSZ458739 LCR458739:LCV458739 LMN458739:LMR458739 LWJ458739:LWN458739 MGF458739:MGJ458739 MQB458739:MQF458739 MZX458739:NAB458739 NJT458739:NJX458739 NTP458739:NTT458739 ODL458739:ODP458739 ONH458739:ONL458739 OXD458739:OXH458739 PGZ458739:PHD458739 PQV458739:PQZ458739 QAR458739:QAV458739 QKN458739:QKR458739 QUJ458739:QUN458739 REF458739:REJ458739 ROB458739:ROF458739 RXX458739:RYB458739 SHT458739:SHX458739 SRP458739:SRT458739 TBL458739:TBP458739 TLH458739:TLL458739 TVD458739:TVH458739 UEZ458739:UFD458739 UOV458739:UOZ458739 UYR458739:UYV458739 VIN458739:VIR458739 VSJ458739:VSN458739 WCF458739:WCJ458739 WMB458739:WMF458739 WVX458739:WWB458739 P524275:T524275 JL524275:JP524275 TH524275:TL524275 ADD524275:ADH524275 AMZ524275:AND524275 AWV524275:AWZ524275 BGR524275:BGV524275 BQN524275:BQR524275 CAJ524275:CAN524275 CKF524275:CKJ524275 CUB524275:CUF524275 DDX524275:DEB524275 DNT524275:DNX524275 DXP524275:DXT524275 EHL524275:EHP524275 ERH524275:ERL524275 FBD524275:FBH524275 FKZ524275:FLD524275 FUV524275:FUZ524275 GER524275:GEV524275 GON524275:GOR524275 GYJ524275:GYN524275 HIF524275:HIJ524275 HSB524275:HSF524275 IBX524275:ICB524275 ILT524275:ILX524275 IVP524275:IVT524275 JFL524275:JFP524275 JPH524275:JPL524275 JZD524275:JZH524275 KIZ524275:KJD524275 KSV524275:KSZ524275 LCR524275:LCV524275 LMN524275:LMR524275 LWJ524275:LWN524275 MGF524275:MGJ524275 MQB524275:MQF524275 MZX524275:NAB524275 NJT524275:NJX524275 NTP524275:NTT524275 ODL524275:ODP524275 ONH524275:ONL524275 OXD524275:OXH524275 PGZ524275:PHD524275 PQV524275:PQZ524275 QAR524275:QAV524275 QKN524275:QKR524275 QUJ524275:QUN524275 REF524275:REJ524275 ROB524275:ROF524275 RXX524275:RYB524275 SHT524275:SHX524275 SRP524275:SRT524275 TBL524275:TBP524275 TLH524275:TLL524275 TVD524275:TVH524275 UEZ524275:UFD524275 UOV524275:UOZ524275 UYR524275:UYV524275 VIN524275:VIR524275 VSJ524275:VSN524275 WCF524275:WCJ524275 WMB524275:WMF524275 WVX524275:WWB524275 P589811:T589811 JL589811:JP589811 TH589811:TL589811 ADD589811:ADH589811 AMZ589811:AND589811 AWV589811:AWZ589811 BGR589811:BGV589811 BQN589811:BQR589811 CAJ589811:CAN589811 CKF589811:CKJ589811 CUB589811:CUF589811 DDX589811:DEB589811 DNT589811:DNX589811 DXP589811:DXT589811 EHL589811:EHP589811 ERH589811:ERL589811 FBD589811:FBH589811 FKZ589811:FLD589811 FUV589811:FUZ589811 GER589811:GEV589811 GON589811:GOR589811 GYJ589811:GYN589811 HIF589811:HIJ589811 HSB589811:HSF589811 IBX589811:ICB589811 ILT589811:ILX589811 IVP589811:IVT589811 JFL589811:JFP589811 JPH589811:JPL589811 JZD589811:JZH589811 KIZ589811:KJD589811 KSV589811:KSZ589811 LCR589811:LCV589811 LMN589811:LMR589811 LWJ589811:LWN589811 MGF589811:MGJ589811 MQB589811:MQF589811 MZX589811:NAB589811 NJT589811:NJX589811 NTP589811:NTT589811 ODL589811:ODP589811 ONH589811:ONL589811 OXD589811:OXH589811 PGZ589811:PHD589811 PQV589811:PQZ589811 QAR589811:QAV589811 QKN589811:QKR589811 QUJ589811:QUN589811 REF589811:REJ589811 ROB589811:ROF589811 RXX589811:RYB589811 SHT589811:SHX589811 SRP589811:SRT589811 TBL589811:TBP589811 TLH589811:TLL589811 TVD589811:TVH589811 UEZ589811:UFD589811 UOV589811:UOZ589811 UYR589811:UYV589811 VIN589811:VIR589811 VSJ589811:VSN589811 WCF589811:WCJ589811 WMB589811:WMF589811 WVX589811:WWB589811 P655347:T655347 JL655347:JP655347 TH655347:TL655347 ADD655347:ADH655347 AMZ655347:AND655347 AWV655347:AWZ655347 BGR655347:BGV655347 BQN655347:BQR655347 CAJ655347:CAN655347 CKF655347:CKJ655347 CUB655347:CUF655347 DDX655347:DEB655347 DNT655347:DNX655347 DXP655347:DXT655347 EHL655347:EHP655347 ERH655347:ERL655347 FBD655347:FBH655347 FKZ655347:FLD655347 FUV655347:FUZ655347 GER655347:GEV655347 GON655347:GOR655347 GYJ655347:GYN655347 HIF655347:HIJ655347 HSB655347:HSF655347 IBX655347:ICB655347 ILT655347:ILX655347 IVP655347:IVT655347 JFL655347:JFP655347 JPH655347:JPL655347 JZD655347:JZH655347 KIZ655347:KJD655347 KSV655347:KSZ655347 LCR655347:LCV655347 LMN655347:LMR655347 LWJ655347:LWN655347 MGF655347:MGJ655347 MQB655347:MQF655347 MZX655347:NAB655347 NJT655347:NJX655347 NTP655347:NTT655347 ODL655347:ODP655347 ONH655347:ONL655347 OXD655347:OXH655347 PGZ655347:PHD655347 PQV655347:PQZ655347 QAR655347:QAV655347 QKN655347:QKR655347 QUJ655347:QUN655347 REF655347:REJ655347 ROB655347:ROF655347 RXX655347:RYB655347 SHT655347:SHX655347 SRP655347:SRT655347 TBL655347:TBP655347 TLH655347:TLL655347 TVD655347:TVH655347 UEZ655347:UFD655347 UOV655347:UOZ655347 UYR655347:UYV655347 VIN655347:VIR655347 VSJ655347:VSN655347 WCF655347:WCJ655347 WMB655347:WMF655347 WVX655347:WWB655347 P720883:T720883 JL720883:JP720883 TH720883:TL720883 ADD720883:ADH720883 AMZ720883:AND720883 AWV720883:AWZ720883 BGR720883:BGV720883 BQN720883:BQR720883 CAJ720883:CAN720883 CKF720883:CKJ720883 CUB720883:CUF720883 DDX720883:DEB720883 DNT720883:DNX720883 DXP720883:DXT720883 EHL720883:EHP720883 ERH720883:ERL720883 FBD720883:FBH720883 FKZ720883:FLD720883 FUV720883:FUZ720883 GER720883:GEV720883 GON720883:GOR720883 GYJ720883:GYN720883 HIF720883:HIJ720883 HSB720883:HSF720883 IBX720883:ICB720883 ILT720883:ILX720883 IVP720883:IVT720883 JFL720883:JFP720883 JPH720883:JPL720883 JZD720883:JZH720883 KIZ720883:KJD720883 KSV720883:KSZ720883 LCR720883:LCV720883 LMN720883:LMR720883 LWJ720883:LWN720883 MGF720883:MGJ720883 MQB720883:MQF720883 MZX720883:NAB720883 NJT720883:NJX720883 NTP720883:NTT720883 ODL720883:ODP720883 ONH720883:ONL720883 OXD720883:OXH720883 PGZ720883:PHD720883 PQV720883:PQZ720883 QAR720883:QAV720883 QKN720883:QKR720883 QUJ720883:QUN720883 REF720883:REJ720883 ROB720883:ROF720883 RXX720883:RYB720883 SHT720883:SHX720883 SRP720883:SRT720883 TBL720883:TBP720883 TLH720883:TLL720883 TVD720883:TVH720883 UEZ720883:UFD720883 UOV720883:UOZ720883 UYR720883:UYV720883 VIN720883:VIR720883 VSJ720883:VSN720883 WCF720883:WCJ720883 WMB720883:WMF720883 WVX720883:WWB720883 P786419:T786419 JL786419:JP786419 TH786419:TL786419 ADD786419:ADH786419 AMZ786419:AND786419 AWV786419:AWZ786419 BGR786419:BGV786419 BQN786419:BQR786419 CAJ786419:CAN786419 CKF786419:CKJ786419 CUB786419:CUF786419 DDX786419:DEB786419 DNT786419:DNX786419 DXP786419:DXT786419 EHL786419:EHP786419 ERH786419:ERL786419 FBD786419:FBH786419 FKZ786419:FLD786419 FUV786419:FUZ786419 GER786419:GEV786419 GON786419:GOR786419 GYJ786419:GYN786419 HIF786419:HIJ786419 HSB786419:HSF786419 IBX786419:ICB786419 ILT786419:ILX786419 IVP786419:IVT786419 JFL786419:JFP786419 JPH786419:JPL786419 JZD786419:JZH786419 KIZ786419:KJD786419 KSV786419:KSZ786419 LCR786419:LCV786419 LMN786419:LMR786419 LWJ786419:LWN786419 MGF786419:MGJ786419 MQB786419:MQF786419 MZX786419:NAB786419 NJT786419:NJX786419 NTP786419:NTT786419 ODL786419:ODP786419 ONH786419:ONL786419 OXD786419:OXH786419 PGZ786419:PHD786419 PQV786419:PQZ786419 QAR786419:QAV786419 QKN786419:QKR786419 QUJ786419:QUN786419 REF786419:REJ786419 ROB786419:ROF786419 RXX786419:RYB786419 SHT786419:SHX786419 SRP786419:SRT786419 TBL786419:TBP786419 TLH786419:TLL786419 TVD786419:TVH786419 UEZ786419:UFD786419 UOV786419:UOZ786419 UYR786419:UYV786419 VIN786419:VIR786419 VSJ786419:VSN786419 WCF786419:WCJ786419 WMB786419:WMF786419 WVX786419:WWB786419 P851955:T851955 JL851955:JP851955 TH851955:TL851955 ADD851955:ADH851955 AMZ851955:AND851955 AWV851955:AWZ851955 BGR851955:BGV851955 BQN851955:BQR851955 CAJ851955:CAN851955 CKF851955:CKJ851955 CUB851955:CUF851955 DDX851955:DEB851955 DNT851955:DNX851955 DXP851955:DXT851955 EHL851955:EHP851955 ERH851955:ERL851955 FBD851955:FBH851955 FKZ851955:FLD851955 FUV851955:FUZ851955 GER851955:GEV851955 GON851955:GOR851955 GYJ851955:GYN851955 HIF851955:HIJ851955 HSB851955:HSF851955 IBX851955:ICB851955 ILT851955:ILX851955 IVP851955:IVT851955 JFL851955:JFP851955 JPH851955:JPL851955 JZD851955:JZH851955 KIZ851955:KJD851955 KSV851955:KSZ851955 LCR851955:LCV851955 LMN851955:LMR851955 LWJ851955:LWN851955 MGF851955:MGJ851955 MQB851955:MQF851955 MZX851955:NAB851955 NJT851955:NJX851955 NTP851955:NTT851955 ODL851955:ODP851955 ONH851955:ONL851955 OXD851955:OXH851955 PGZ851955:PHD851955 PQV851955:PQZ851955 QAR851955:QAV851955 QKN851955:QKR851955 QUJ851955:QUN851955 REF851955:REJ851955 ROB851955:ROF851955 RXX851955:RYB851955 SHT851955:SHX851955 SRP851955:SRT851955 TBL851955:TBP851955 TLH851955:TLL851955 TVD851955:TVH851955 UEZ851955:UFD851955 UOV851955:UOZ851955 UYR851955:UYV851955 VIN851955:VIR851955 VSJ851955:VSN851955 WCF851955:WCJ851955 WMB851955:WMF851955 WVX851955:WWB851955 P917491:T917491 JL917491:JP917491 TH917491:TL917491 ADD917491:ADH917491 AMZ917491:AND917491 AWV917491:AWZ917491 BGR917491:BGV917491 BQN917491:BQR917491 CAJ917491:CAN917491 CKF917491:CKJ917491 CUB917491:CUF917491 DDX917491:DEB917491 DNT917491:DNX917491 DXP917491:DXT917491 EHL917491:EHP917491 ERH917491:ERL917491 FBD917491:FBH917491 FKZ917491:FLD917491 FUV917491:FUZ917491 GER917491:GEV917491 GON917491:GOR917491 GYJ917491:GYN917491 HIF917491:HIJ917491 HSB917491:HSF917491 IBX917491:ICB917491 ILT917491:ILX917491 IVP917491:IVT917491 JFL917491:JFP917491 JPH917491:JPL917491 JZD917491:JZH917491 KIZ917491:KJD917491 KSV917491:KSZ917491 LCR917491:LCV917491 LMN917491:LMR917491 LWJ917491:LWN917491 MGF917491:MGJ917491 MQB917491:MQF917491 MZX917491:NAB917491 NJT917491:NJX917491 NTP917491:NTT917491 ODL917491:ODP917491 ONH917491:ONL917491 OXD917491:OXH917491 PGZ917491:PHD917491 PQV917491:PQZ917491 QAR917491:QAV917491 QKN917491:QKR917491 QUJ917491:QUN917491 REF917491:REJ917491 ROB917491:ROF917491 RXX917491:RYB917491 SHT917491:SHX917491 SRP917491:SRT917491 TBL917491:TBP917491 TLH917491:TLL917491 TVD917491:TVH917491 UEZ917491:UFD917491 UOV917491:UOZ917491 UYR917491:UYV917491 VIN917491:VIR917491 VSJ917491:VSN917491 WCF917491:WCJ917491 WMB917491:WMF917491 WVX917491:WWB917491 P983027:T983027 JL983027:JP983027 TH983027:TL983027 ADD983027:ADH983027 AMZ983027:AND983027 AWV983027:AWZ983027 BGR983027:BGV983027 BQN983027:BQR983027 CAJ983027:CAN983027 CKF983027:CKJ983027 CUB983027:CUF983027 DDX983027:DEB983027 DNT983027:DNX983027 DXP983027:DXT983027 EHL983027:EHP983027 ERH983027:ERL983027 FBD983027:FBH983027 FKZ983027:FLD983027 FUV983027:FUZ983027 GER983027:GEV983027 GON983027:GOR983027 GYJ983027:GYN983027 HIF983027:HIJ983027 HSB983027:HSF983027 IBX983027:ICB983027 ILT983027:ILX983027 IVP983027:IVT983027 JFL983027:JFP983027 JPH983027:JPL983027 JZD983027:JZH983027 KIZ983027:KJD983027 KSV983027:KSZ983027 LCR983027:LCV983027 LMN983027:LMR983027 LWJ983027:LWN983027 MGF983027:MGJ983027 MQB983027:MQF983027 MZX983027:NAB983027 NJT983027:NJX983027 NTP983027:NTT983027 ODL983027:ODP983027 ONH983027:ONL983027 OXD983027:OXH983027 PGZ983027:PHD983027 PQV983027:PQZ983027 QAR983027:QAV983027 QKN983027:QKR983027 QUJ983027:QUN983027 REF983027:REJ983027 ROB983027:ROF983027 RXX983027:RYB983027 SHT983027:SHX983027 SRP983027:SRT983027 TBL983027:TBP983027 TLH983027:TLL983027 TVD983027:TVH983027 UEZ983027:UFD983027 UOV983027:UOZ983027 UYR983027:UYV983027 VIN983027:VIR983027 VSJ983027:VSN983027 WCF983027:WCJ983027 WMB983027:WMF983027 WVX983027:WWB983027 H65521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57 JC65521:JD65521 SY65521:SZ65521 ACU65521:ACV65521 AMQ65521:AMR65521 AWM65521:AWN65521 BGI65521:BGJ65521 BQE65521:BQF65521 CAA65521:CAB65521 CJW65521:CJX65521 CTS65521:CTT65521 DDO65521:DDP65521 DNK65521:DNL65521 DXG65521:DXH65521 EHC65521:EHD65521 EQY65521:EQZ65521 FAU65521:FAV65521 FKQ65521:FKR65521 FUM65521:FUN65521 GEI65521:GEJ65521 GOE65521:GOF65521 GYA65521:GYB65521 HHW65521:HHX65521 HRS65521:HRT65521 IBO65521:IBP65521 ILK65521:ILL65521 IVG65521:IVH65521 JFC65521:JFD65521 JOY65521:JOZ65521 JYU65521:JYV65521 KIQ65521:KIR65521 KSM65521:KSN65521 LCI65521:LCJ65521 LME65521:LMF65521 LWA65521:LWB65521 MFW65521:MFX65521 MPS65521:MPT65521 MZO65521:MZP65521 NJK65521:NJL65521 NTG65521:NTH65521 ODC65521:ODD65521 OMY65521:OMZ65521 OWU65521:OWV65521 PGQ65521:PGR65521 PQM65521:PQN65521 QAI65521:QAJ65521 QKE65521:QKF65521 QUA65521:QUB65521 RDW65521:RDX65521 RNS65521:RNT65521 RXO65521:RXP65521 SHK65521:SHL65521 SRG65521:SRH65521 TBC65521:TBD65521 TKY65521:TKZ65521 TUU65521:TUV65521 UEQ65521:UER65521 UOM65521:UON65521 UYI65521:UYJ65521 VIE65521:VIF65521 VSA65521:VSB65521 WBW65521:WBX65521 WLS65521:WLT65521 WVO65521:WVP65521 H196593 JC131057:JD131057 SY131057:SZ131057 ACU131057:ACV131057 AMQ131057:AMR131057 AWM131057:AWN131057 BGI131057:BGJ131057 BQE131057:BQF131057 CAA131057:CAB131057 CJW131057:CJX131057 CTS131057:CTT131057 DDO131057:DDP131057 DNK131057:DNL131057 DXG131057:DXH131057 EHC131057:EHD131057 EQY131057:EQZ131057 FAU131057:FAV131057 FKQ131057:FKR131057 FUM131057:FUN131057 GEI131057:GEJ131057 GOE131057:GOF131057 GYA131057:GYB131057 HHW131057:HHX131057 HRS131057:HRT131057 IBO131057:IBP131057 ILK131057:ILL131057 IVG131057:IVH131057 JFC131057:JFD131057 JOY131057:JOZ131057 JYU131057:JYV131057 KIQ131057:KIR131057 KSM131057:KSN131057 LCI131057:LCJ131057 LME131057:LMF131057 LWA131057:LWB131057 MFW131057:MFX131057 MPS131057:MPT131057 MZO131057:MZP131057 NJK131057:NJL131057 NTG131057:NTH131057 ODC131057:ODD131057 OMY131057:OMZ131057 OWU131057:OWV131057 PGQ131057:PGR131057 PQM131057:PQN131057 QAI131057:QAJ131057 QKE131057:QKF131057 QUA131057:QUB131057 RDW131057:RDX131057 RNS131057:RNT131057 RXO131057:RXP131057 SHK131057:SHL131057 SRG131057:SRH131057 TBC131057:TBD131057 TKY131057:TKZ131057 TUU131057:TUV131057 UEQ131057:UER131057 UOM131057:UON131057 UYI131057:UYJ131057 VIE131057:VIF131057 VSA131057:VSB131057 WBW131057:WBX131057 WLS131057:WLT131057 WVO131057:WVP131057 H262129 JC196593:JD196593 SY196593:SZ196593 ACU196593:ACV196593 AMQ196593:AMR196593 AWM196593:AWN196593 BGI196593:BGJ196593 BQE196593:BQF196593 CAA196593:CAB196593 CJW196593:CJX196593 CTS196593:CTT196593 DDO196593:DDP196593 DNK196593:DNL196593 DXG196593:DXH196593 EHC196593:EHD196593 EQY196593:EQZ196593 FAU196593:FAV196593 FKQ196593:FKR196593 FUM196593:FUN196593 GEI196593:GEJ196593 GOE196593:GOF196593 GYA196593:GYB196593 HHW196593:HHX196593 HRS196593:HRT196593 IBO196593:IBP196593 ILK196593:ILL196593 IVG196593:IVH196593 JFC196593:JFD196593 JOY196593:JOZ196593 JYU196593:JYV196593 KIQ196593:KIR196593 KSM196593:KSN196593 LCI196593:LCJ196593 LME196593:LMF196593 LWA196593:LWB196593 MFW196593:MFX196593 MPS196593:MPT196593 MZO196593:MZP196593 NJK196593:NJL196593 NTG196593:NTH196593 ODC196593:ODD196593 OMY196593:OMZ196593 OWU196593:OWV196593 PGQ196593:PGR196593 PQM196593:PQN196593 QAI196593:QAJ196593 QKE196593:QKF196593 QUA196593:QUB196593 RDW196593:RDX196593 RNS196593:RNT196593 RXO196593:RXP196593 SHK196593:SHL196593 SRG196593:SRH196593 TBC196593:TBD196593 TKY196593:TKZ196593 TUU196593:TUV196593 UEQ196593:UER196593 UOM196593:UON196593 UYI196593:UYJ196593 VIE196593:VIF196593 VSA196593:VSB196593 WBW196593:WBX196593 WLS196593:WLT196593 WVO196593:WVP196593 H327665 JC262129:JD262129 SY262129:SZ262129 ACU262129:ACV262129 AMQ262129:AMR262129 AWM262129:AWN262129 BGI262129:BGJ262129 BQE262129:BQF262129 CAA262129:CAB262129 CJW262129:CJX262129 CTS262129:CTT262129 DDO262129:DDP262129 DNK262129:DNL262129 DXG262129:DXH262129 EHC262129:EHD262129 EQY262129:EQZ262129 FAU262129:FAV262129 FKQ262129:FKR262129 FUM262129:FUN262129 GEI262129:GEJ262129 GOE262129:GOF262129 GYA262129:GYB262129 HHW262129:HHX262129 HRS262129:HRT262129 IBO262129:IBP262129 ILK262129:ILL262129 IVG262129:IVH262129 JFC262129:JFD262129 JOY262129:JOZ262129 JYU262129:JYV262129 KIQ262129:KIR262129 KSM262129:KSN262129 LCI262129:LCJ262129 LME262129:LMF262129 LWA262129:LWB262129 MFW262129:MFX262129 MPS262129:MPT262129 MZO262129:MZP262129 NJK262129:NJL262129 NTG262129:NTH262129 ODC262129:ODD262129 OMY262129:OMZ262129 OWU262129:OWV262129 PGQ262129:PGR262129 PQM262129:PQN262129 QAI262129:QAJ262129 QKE262129:QKF262129 QUA262129:QUB262129 RDW262129:RDX262129 RNS262129:RNT262129 RXO262129:RXP262129 SHK262129:SHL262129 SRG262129:SRH262129 TBC262129:TBD262129 TKY262129:TKZ262129 TUU262129:TUV262129 UEQ262129:UER262129 UOM262129:UON262129 UYI262129:UYJ262129 VIE262129:VIF262129 VSA262129:VSB262129 WBW262129:WBX262129 WLS262129:WLT262129 WVO262129:WVP262129 H393201 JC327665:JD327665 SY327665:SZ327665 ACU327665:ACV327665 AMQ327665:AMR327665 AWM327665:AWN327665 BGI327665:BGJ327665 BQE327665:BQF327665 CAA327665:CAB327665 CJW327665:CJX327665 CTS327665:CTT327665 DDO327665:DDP327665 DNK327665:DNL327665 DXG327665:DXH327665 EHC327665:EHD327665 EQY327665:EQZ327665 FAU327665:FAV327665 FKQ327665:FKR327665 FUM327665:FUN327665 GEI327665:GEJ327665 GOE327665:GOF327665 GYA327665:GYB327665 HHW327665:HHX327665 HRS327665:HRT327665 IBO327665:IBP327665 ILK327665:ILL327665 IVG327665:IVH327665 JFC327665:JFD327665 JOY327665:JOZ327665 JYU327665:JYV327665 KIQ327665:KIR327665 KSM327665:KSN327665 LCI327665:LCJ327665 LME327665:LMF327665 LWA327665:LWB327665 MFW327665:MFX327665 MPS327665:MPT327665 MZO327665:MZP327665 NJK327665:NJL327665 NTG327665:NTH327665 ODC327665:ODD327665 OMY327665:OMZ327665 OWU327665:OWV327665 PGQ327665:PGR327665 PQM327665:PQN327665 QAI327665:QAJ327665 QKE327665:QKF327665 QUA327665:QUB327665 RDW327665:RDX327665 RNS327665:RNT327665 RXO327665:RXP327665 SHK327665:SHL327665 SRG327665:SRH327665 TBC327665:TBD327665 TKY327665:TKZ327665 TUU327665:TUV327665 UEQ327665:UER327665 UOM327665:UON327665 UYI327665:UYJ327665 VIE327665:VIF327665 VSA327665:VSB327665 WBW327665:WBX327665 WLS327665:WLT327665 WVO327665:WVP327665 H458737 JC393201:JD393201 SY393201:SZ393201 ACU393201:ACV393201 AMQ393201:AMR393201 AWM393201:AWN393201 BGI393201:BGJ393201 BQE393201:BQF393201 CAA393201:CAB393201 CJW393201:CJX393201 CTS393201:CTT393201 DDO393201:DDP393201 DNK393201:DNL393201 DXG393201:DXH393201 EHC393201:EHD393201 EQY393201:EQZ393201 FAU393201:FAV393201 FKQ393201:FKR393201 FUM393201:FUN393201 GEI393201:GEJ393201 GOE393201:GOF393201 GYA393201:GYB393201 HHW393201:HHX393201 HRS393201:HRT393201 IBO393201:IBP393201 ILK393201:ILL393201 IVG393201:IVH393201 JFC393201:JFD393201 JOY393201:JOZ393201 JYU393201:JYV393201 KIQ393201:KIR393201 KSM393201:KSN393201 LCI393201:LCJ393201 LME393201:LMF393201 LWA393201:LWB393201 MFW393201:MFX393201 MPS393201:MPT393201 MZO393201:MZP393201 NJK393201:NJL393201 NTG393201:NTH393201 ODC393201:ODD393201 OMY393201:OMZ393201 OWU393201:OWV393201 PGQ393201:PGR393201 PQM393201:PQN393201 QAI393201:QAJ393201 QKE393201:QKF393201 QUA393201:QUB393201 RDW393201:RDX393201 RNS393201:RNT393201 RXO393201:RXP393201 SHK393201:SHL393201 SRG393201:SRH393201 TBC393201:TBD393201 TKY393201:TKZ393201 TUU393201:TUV393201 UEQ393201:UER393201 UOM393201:UON393201 UYI393201:UYJ393201 VIE393201:VIF393201 VSA393201:VSB393201 WBW393201:WBX393201 WLS393201:WLT393201 WVO393201:WVP393201 H524273 JC458737:JD458737 SY458737:SZ458737 ACU458737:ACV458737 AMQ458737:AMR458737 AWM458737:AWN458737 BGI458737:BGJ458737 BQE458737:BQF458737 CAA458737:CAB458737 CJW458737:CJX458737 CTS458737:CTT458737 DDO458737:DDP458737 DNK458737:DNL458737 DXG458737:DXH458737 EHC458737:EHD458737 EQY458737:EQZ458737 FAU458737:FAV458737 FKQ458737:FKR458737 FUM458737:FUN458737 GEI458737:GEJ458737 GOE458737:GOF458737 GYA458737:GYB458737 HHW458737:HHX458737 HRS458737:HRT458737 IBO458737:IBP458737 ILK458737:ILL458737 IVG458737:IVH458737 JFC458737:JFD458737 JOY458737:JOZ458737 JYU458737:JYV458737 KIQ458737:KIR458737 KSM458737:KSN458737 LCI458737:LCJ458737 LME458737:LMF458737 LWA458737:LWB458737 MFW458737:MFX458737 MPS458737:MPT458737 MZO458737:MZP458737 NJK458737:NJL458737 NTG458737:NTH458737 ODC458737:ODD458737 OMY458737:OMZ458737 OWU458737:OWV458737 PGQ458737:PGR458737 PQM458737:PQN458737 QAI458737:QAJ458737 QKE458737:QKF458737 QUA458737:QUB458737 RDW458737:RDX458737 RNS458737:RNT458737 RXO458737:RXP458737 SHK458737:SHL458737 SRG458737:SRH458737 TBC458737:TBD458737 TKY458737:TKZ458737 TUU458737:TUV458737 UEQ458737:UER458737 UOM458737:UON458737 UYI458737:UYJ458737 VIE458737:VIF458737 VSA458737:VSB458737 WBW458737:WBX458737 WLS458737:WLT458737 WVO458737:WVP458737 H589809 JC524273:JD524273 SY524273:SZ524273 ACU524273:ACV524273 AMQ524273:AMR524273 AWM524273:AWN524273 BGI524273:BGJ524273 BQE524273:BQF524273 CAA524273:CAB524273 CJW524273:CJX524273 CTS524273:CTT524273 DDO524273:DDP524273 DNK524273:DNL524273 DXG524273:DXH524273 EHC524273:EHD524273 EQY524273:EQZ524273 FAU524273:FAV524273 FKQ524273:FKR524273 FUM524273:FUN524273 GEI524273:GEJ524273 GOE524273:GOF524273 GYA524273:GYB524273 HHW524273:HHX524273 HRS524273:HRT524273 IBO524273:IBP524273 ILK524273:ILL524273 IVG524273:IVH524273 JFC524273:JFD524273 JOY524273:JOZ524273 JYU524273:JYV524273 KIQ524273:KIR524273 KSM524273:KSN524273 LCI524273:LCJ524273 LME524273:LMF524273 LWA524273:LWB524273 MFW524273:MFX524273 MPS524273:MPT524273 MZO524273:MZP524273 NJK524273:NJL524273 NTG524273:NTH524273 ODC524273:ODD524273 OMY524273:OMZ524273 OWU524273:OWV524273 PGQ524273:PGR524273 PQM524273:PQN524273 QAI524273:QAJ524273 QKE524273:QKF524273 QUA524273:QUB524273 RDW524273:RDX524273 RNS524273:RNT524273 RXO524273:RXP524273 SHK524273:SHL524273 SRG524273:SRH524273 TBC524273:TBD524273 TKY524273:TKZ524273 TUU524273:TUV524273 UEQ524273:UER524273 UOM524273:UON524273 UYI524273:UYJ524273 VIE524273:VIF524273 VSA524273:VSB524273 WBW524273:WBX524273 WLS524273:WLT524273 WVO524273:WVP524273 H655345 JC589809:JD589809 SY589809:SZ589809 ACU589809:ACV589809 AMQ589809:AMR589809 AWM589809:AWN589809 BGI589809:BGJ589809 BQE589809:BQF589809 CAA589809:CAB589809 CJW589809:CJX589809 CTS589809:CTT589809 DDO589809:DDP589809 DNK589809:DNL589809 DXG589809:DXH589809 EHC589809:EHD589809 EQY589809:EQZ589809 FAU589809:FAV589809 FKQ589809:FKR589809 FUM589809:FUN589809 GEI589809:GEJ589809 GOE589809:GOF589809 GYA589809:GYB589809 HHW589809:HHX589809 HRS589809:HRT589809 IBO589809:IBP589809 ILK589809:ILL589809 IVG589809:IVH589809 JFC589809:JFD589809 JOY589809:JOZ589809 JYU589809:JYV589809 KIQ589809:KIR589809 KSM589809:KSN589809 LCI589809:LCJ589809 LME589809:LMF589809 LWA589809:LWB589809 MFW589809:MFX589809 MPS589809:MPT589809 MZO589809:MZP589809 NJK589809:NJL589809 NTG589809:NTH589809 ODC589809:ODD589809 OMY589809:OMZ589809 OWU589809:OWV589809 PGQ589809:PGR589809 PQM589809:PQN589809 QAI589809:QAJ589809 QKE589809:QKF589809 QUA589809:QUB589809 RDW589809:RDX589809 RNS589809:RNT589809 RXO589809:RXP589809 SHK589809:SHL589809 SRG589809:SRH589809 TBC589809:TBD589809 TKY589809:TKZ589809 TUU589809:TUV589809 UEQ589809:UER589809 UOM589809:UON589809 UYI589809:UYJ589809 VIE589809:VIF589809 VSA589809:VSB589809 WBW589809:WBX589809 WLS589809:WLT589809 WVO589809:WVP589809 H720881 JC655345:JD655345 SY655345:SZ655345 ACU655345:ACV655345 AMQ655345:AMR655345 AWM655345:AWN655345 BGI655345:BGJ655345 BQE655345:BQF655345 CAA655345:CAB655345 CJW655345:CJX655345 CTS655345:CTT655345 DDO655345:DDP655345 DNK655345:DNL655345 DXG655345:DXH655345 EHC655345:EHD655345 EQY655345:EQZ655345 FAU655345:FAV655345 FKQ655345:FKR655345 FUM655345:FUN655345 GEI655345:GEJ655345 GOE655345:GOF655345 GYA655345:GYB655345 HHW655345:HHX655345 HRS655345:HRT655345 IBO655345:IBP655345 ILK655345:ILL655345 IVG655345:IVH655345 JFC655345:JFD655345 JOY655345:JOZ655345 JYU655345:JYV655345 KIQ655345:KIR655345 KSM655345:KSN655345 LCI655345:LCJ655345 LME655345:LMF655345 LWA655345:LWB655345 MFW655345:MFX655345 MPS655345:MPT655345 MZO655345:MZP655345 NJK655345:NJL655345 NTG655345:NTH655345 ODC655345:ODD655345 OMY655345:OMZ655345 OWU655345:OWV655345 PGQ655345:PGR655345 PQM655345:PQN655345 QAI655345:QAJ655345 QKE655345:QKF655345 QUA655345:QUB655345 RDW655345:RDX655345 RNS655345:RNT655345 RXO655345:RXP655345 SHK655345:SHL655345 SRG655345:SRH655345 TBC655345:TBD655345 TKY655345:TKZ655345 TUU655345:TUV655345 UEQ655345:UER655345 UOM655345:UON655345 UYI655345:UYJ655345 VIE655345:VIF655345 VSA655345:VSB655345 WBW655345:WBX655345 WLS655345:WLT655345 WVO655345:WVP655345 H786417 JC720881:JD720881 SY720881:SZ720881 ACU720881:ACV720881 AMQ720881:AMR720881 AWM720881:AWN720881 BGI720881:BGJ720881 BQE720881:BQF720881 CAA720881:CAB720881 CJW720881:CJX720881 CTS720881:CTT720881 DDO720881:DDP720881 DNK720881:DNL720881 DXG720881:DXH720881 EHC720881:EHD720881 EQY720881:EQZ720881 FAU720881:FAV720881 FKQ720881:FKR720881 FUM720881:FUN720881 GEI720881:GEJ720881 GOE720881:GOF720881 GYA720881:GYB720881 HHW720881:HHX720881 HRS720881:HRT720881 IBO720881:IBP720881 ILK720881:ILL720881 IVG720881:IVH720881 JFC720881:JFD720881 JOY720881:JOZ720881 JYU720881:JYV720881 KIQ720881:KIR720881 KSM720881:KSN720881 LCI720881:LCJ720881 LME720881:LMF720881 LWA720881:LWB720881 MFW720881:MFX720881 MPS720881:MPT720881 MZO720881:MZP720881 NJK720881:NJL720881 NTG720881:NTH720881 ODC720881:ODD720881 OMY720881:OMZ720881 OWU720881:OWV720881 PGQ720881:PGR720881 PQM720881:PQN720881 QAI720881:QAJ720881 QKE720881:QKF720881 QUA720881:QUB720881 RDW720881:RDX720881 RNS720881:RNT720881 RXO720881:RXP720881 SHK720881:SHL720881 SRG720881:SRH720881 TBC720881:TBD720881 TKY720881:TKZ720881 TUU720881:TUV720881 UEQ720881:UER720881 UOM720881:UON720881 UYI720881:UYJ720881 VIE720881:VIF720881 VSA720881:VSB720881 WBW720881:WBX720881 WLS720881:WLT720881 WVO720881:WVP720881 H851953 JC786417:JD786417 SY786417:SZ786417 ACU786417:ACV786417 AMQ786417:AMR786417 AWM786417:AWN786417 BGI786417:BGJ786417 BQE786417:BQF786417 CAA786417:CAB786417 CJW786417:CJX786417 CTS786417:CTT786417 DDO786417:DDP786417 DNK786417:DNL786417 DXG786417:DXH786417 EHC786417:EHD786417 EQY786417:EQZ786417 FAU786417:FAV786417 FKQ786417:FKR786417 FUM786417:FUN786417 GEI786417:GEJ786417 GOE786417:GOF786417 GYA786417:GYB786417 HHW786417:HHX786417 HRS786417:HRT786417 IBO786417:IBP786417 ILK786417:ILL786417 IVG786417:IVH786417 JFC786417:JFD786417 JOY786417:JOZ786417 JYU786417:JYV786417 KIQ786417:KIR786417 KSM786417:KSN786417 LCI786417:LCJ786417 LME786417:LMF786417 LWA786417:LWB786417 MFW786417:MFX786417 MPS786417:MPT786417 MZO786417:MZP786417 NJK786417:NJL786417 NTG786417:NTH786417 ODC786417:ODD786417 OMY786417:OMZ786417 OWU786417:OWV786417 PGQ786417:PGR786417 PQM786417:PQN786417 QAI786417:QAJ786417 QKE786417:QKF786417 QUA786417:QUB786417 RDW786417:RDX786417 RNS786417:RNT786417 RXO786417:RXP786417 SHK786417:SHL786417 SRG786417:SRH786417 TBC786417:TBD786417 TKY786417:TKZ786417 TUU786417:TUV786417 UEQ786417:UER786417 UOM786417:UON786417 UYI786417:UYJ786417 VIE786417:VIF786417 VSA786417:VSB786417 WBW786417:WBX786417 WLS786417:WLT786417 WVO786417:WVP786417 H917489 JC851953:JD851953 SY851953:SZ851953 ACU851953:ACV851953 AMQ851953:AMR851953 AWM851953:AWN851953 BGI851953:BGJ851953 BQE851953:BQF851953 CAA851953:CAB851953 CJW851953:CJX851953 CTS851953:CTT851953 DDO851953:DDP851953 DNK851953:DNL851953 DXG851953:DXH851953 EHC851953:EHD851953 EQY851953:EQZ851953 FAU851953:FAV851953 FKQ851953:FKR851953 FUM851953:FUN851953 GEI851953:GEJ851953 GOE851953:GOF851953 GYA851953:GYB851953 HHW851953:HHX851953 HRS851953:HRT851953 IBO851953:IBP851953 ILK851953:ILL851953 IVG851953:IVH851953 JFC851953:JFD851953 JOY851953:JOZ851953 JYU851953:JYV851953 KIQ851953:KIR851953 KSM851953:KSN851953 LCI851953:LCJ851953 LME851953:LMF851953 LWA851953:LWB851953 MFW851953:MFX851953 MPS851953:MPT851953 MZO851953:MZP851953 NJK851953:NJL851953 NTG851953:NTH851953 ODC851953:ODD851953 OMY851953:OMZ851953 OWU851953:OWV851953 PGQ851953:PGR851953 PQM851953:PQN851953 QAI851953:QAJ851953 QKE851953:QKF851953 QUA851953:QUB851953 RDW851953:RDX851953 RNS851953:RNT851953 RXO851953:RXP851953 SHK851953:SHL851953 SRG851953:SRH851953 TBC851953:TBD851953 TKY851953:TKZ851953 TUU851953:TUV851953 UEQ851953:UER851953 UOM851953:UON851953 UYI851953:UYJ851953 VIE851953:VIF851953 VSA851953:VSB851953 WBW851953:WBX851953 WLS851953:WLT851953 WVO851953:WVP851953 H983025 JC917489:JD917489 SY917489:SZ917489 ACU917489:ACV917489 AMQ917489:AMR917489 AWM917489:AWN917489 BGI917489:BGJ917489 BQE917489:BQF917489 CAA917489:CAB917489 CJW917489:CJX917489 CTS917489:CTT917489 DDO917489:DDP917489 DNK917489:DNL917489 DXG917489:DXH917489 EHC917489:EHD917489 EQY917489:EQZ917489 FAU917489:FAV917489 FKQ917489:FKR917489 FUM917489:FUN917489 GEI917489:GEJ917489 GOE917489:GOF917489 GYA917489:GYB917489 HHW917489:HHX917489 HRS917489:HRT917489 IBO917489:IBP917489 ILK917489:ILL917489 IVG917489:IVH917489 JFC917489:JFD917489 JOY917489:JOZ917489 JYU917489:JYV917489 KIQ917489:KIR917489 KSM917489:KSN917489 LCI917489:LCJ917489 LME917489:LMF917489 LWA917489:LWB917489 MFW917489:MFX917489 MPS917489:MPT917489 MZO917489:MZP917489 NJK917489:NJL917489 NTG917489:NTH917489 ODC917489:ODD917489 OMY917489:OMZ917489 OWU917489:OWV917489 PGQ917489:PGR917489 PQM917489:PQN917489 QAI917489:QAJ917489 QKE917489:QKF917489 QUA917489:QUB917489 RDW917489:RDX917489 RNS917489:RNT917489 RXO917489:RXP917489 SHK917489:SHL917489 SRG917489:SRH917489 TBC917489:TBD917489 TKY917489:TKZ917489 TUU917489:TUV917489 UEQ917489:UER917489 UOM917489:UON917489 UYI917489:UYJ917489 VIE917489:VIF917489 VSA917489:VSB917489 WBW917489:WBX917489 WLS917489:WLT917489 WVO917489:WVP917489 WVO983025:WVP983025 JC983025:JD983025 SY983025:SZ983025 ACU983025:ACV983025 AMQ983025:AMR983025 AWM983025:AWN983025 BGI983025:BGJ983025 BQE983025:BQF983025 CAA983025:CAB983025 CJW983025:CJX983025 CTS983025:CTT983025 DDO983025:DDP983025 DNK983025:DNL983025 DXG983025:DXH983025 EHC983025:EHD983025 EQY983025:EQZ983025 FAU983025:FAV983025 FKQ983025:FKR983025 FUM983025:FUN983025 GEI983025:GEJ983025 GOE983025:GOF983025 GYA983025:GYB983025 HHW983025:HHX983025 HRS983025:HRT983025 IBO983025:IBP983025 ILK983025:ILL983025 IVG983025:IVH983025 JFC983025:JFD983025 JOY983025:JOZ983025 JYU983025:JYV983025 KIQ983025:KIR983025 KSM983025:KSN983025 LCI983025:LCJ983025 LME983025:LMF983025 LWA983025:LWB983025 MFW983025:MFX983025 MPS983025:MPT983025 MZO983025:MZP983025 NJK983025:NJL983025 NTG983025:NTH983025 ODC983025:ODD983025 OMY983025:OMZ983025 OWU983025:OWV983025 PGQ983025:PGR983025 PQM983025:PQN983025 QAI983025:QAJ983025 QKE983025:QKF983025 QUA983025:QUB983025 RDW983025:RDX983025 RNS983025:RNT983025 RXO983025:RXP983025 SHK983025:SHL983025 SRG983025:SRH983025 TBC983025:TBD983025 TKY983025:TKZ983025 TUU983025:TUV983025 UEQ983025:UER983025 UOM983025:UON983025 UYI983025:UYJ983025 VIE983025:VIF983025 VSA983025:VSB983025 WBW983025:WBX983025 WLS983025:WLT983025 H4" xr:uid="{00000000-0002-0000-0000-000002000000}">
      <formula1>1000000</formula1>
      <formula2>1009999</formula2>
    </dataValidation>
    <dataValidation type="list" allowBlank="1" showInputMessage="1" showErrorMessage="1" prompt="Escolha a Competência a ser desenvolvida" sqref="F983041 C65537:D65537 IY65537:IZ65537 SU65537:SV65537 ACQ65537:ACR65537 AMM65537:AMN65537 AWI65537:AWJ65537 BGE65537:BGF65537 BQA65537:BQB65537 BZW65537:BZX65537 CJS65537:CJT65537 CTO65537:CTP65537 DDK65537:DDL65537 DNG65537:DNH65537 DXC65537:DXD65537 EGY65537:EGZ65537 EQU65537:EQV65537 FAQ65537:FAR65537 FKM65537:FKN65537 FUI65537:FUJ65537 GEE65537:GEF65537 GOA65537:GOB65537 GXW65537:GXX65537 HHS65537:HHT65537 HRO65537:HRP65537 IBK65537:IBL65537 ILG65537:ILH65537 IVC65537:IVD65537 JEY65537:JEZ65537 JOU65537:JOV65537 JYQ65537:JYR65537 KIM65537:KIN65537 KSI65537:KSJ65537 LCE65537:LCF65537 LMA65537:LMB65537 LVW65537:LVX65537 MFS65537:MFT65537 MPO65537:MPP65537 MZK65537:MZL65537 NJG65537:NJH65537 NTC65537:NTD65537 OCY65537:OCZ65537 OMU65537:OMV65537 OWQ65537:OWR65537 PGM65537:PGN65537 PQI65537:PQJ65537 QAE65537:QAF65537 QKA65537:QKB65537 QTW65537:QTX65537 RDS65537:RDT65537 RNO65537:RNP65537 RXK65537:RXL65537 SHG65537:SHH65537 SRC65537:SRD65537 TAY65537:TAZ65537 TKU65537:TKV65537 TUQ65537:TUR65537 UEM65537:UEN65537 UOI65537:UOJ65537 UYE65537:UYF65537 VIA65537:VIB65537 VRW65537:VRX65537 WBS65537:WBT65537 WLO65537:WLP65537 WVK65537:WVL65537 C131073:D131073 IY131073:IZ131073 SU131073:SV131073 ACQ131073:ACR131073 AMM131073:AMN131073 AWI131073:AWJ131073 BGE131073:BGF131073 BQA131073:BQB131073 BZW131073:BZX131073 CJS131073:CJT131073 CTO131073:CTP131073 DDK131073:DDL131073 DNG131073:DNH131073 DXC131073:DXD131073 EGY131073:EGZ131073 EQU131073:EQV131073 FAQ131073:FAR131073 FKM131073:FKN131073 FUI131073:FUJ131073 GEE131073:GEF131073 GOA131073:GOB131073 GXW131073:GXX131073 HHS131073:HHT131073 HRO131073:HRP131073 IBK131073:IBL131073 ILG131073:ILH131073 IVC131073:IVD131073 JEY131073:JEZ131073 JOU131073:JOV131073 JYQ131073:JYR131073 KIM131073:KIN131073 KSI131073:KSJ131073 LCE131073:LCF131073 LMA131073:LMB131073 LVW131073:LVX131073 MFS131073:MFT131073 MPO131073:MPP131073 MZK131073:MZL131073 NJG131073:NJH131073 NTC131073:NTD131073 OCY131073:OCZ131073 OMU131073:OMV131073 OWQ131073:OWR131073 PGM131073:PGN131073 PQI131073:PQJ131073 QAE131073:QAF131073 QKA131073:QKB131073 QTW131073:QTX131073 RDS131073:RDT131073 RNO131073:RNP131073 RXK131073:RXL131073 SHG131073:SHH131073 SRC131073:SRD131073 TAY131073:TAZ131073 TKU131073:TKV131073 TUQ131073:TUR131073 UEM131073:UEN131073 UOI131073:UOJ131073 UYE131073:UYF131073 VIA131073:VIB131073 VRW131073:VRX131073 WBS131073:WBT131073 WLO131073:WLP131073 WVK131073:WVL131073 C196609:D196609 IY196609:IZ196609 SU196609:SV196609 ACQ196609:ACR196609 AMM196609:AMN196609 AWI196609:AWJ196609 BGE196609:BGF196609 BQA196609:BQB196609 BZW196609:BZX196609 CJS196609:CJT196609 CTO196609:CTP196609 DDK196609:DDL196609 DNG196609:DNH196609 DXC196609:DXD196609 EGY196609:EGZ196609 EQU196609:EQV196609 FAQ196609:FAR196609 FKM196609:FKN196609 FUI196609:FUJ196609 GEE196609:GEF196609 GOA196609:GOB196609 GXW196609:GXX196609 HHS196609:HHT196609 HRO196609:HRP196609 IBK196609:IBL196609 ILG196609:ILH196609 IVC196609:IVD196609 JEY196609:JEZ196609 JOU196609:JOV196609 JYQ196609:JYR196609 KIM196609:KIN196609 KSI196609:KSJ196609 LCE196609:LCF196609 LMA196609:LMB196609 LVW196609:LVX196609 MFS196609:MFT196609 MPO196609:MPP196609 MZK196609:MZL196609 NJG196609:NJH196609 NTC196609:NTD196609 OCY196609:OCZ196609 OMU196609:OMV196609 OWQ196609:OWR196609 PGM196609:PGN196609 PQI196609:PQJ196609 QAE196609:QAF196609 QKA196609:QKB196609 QTW196609:QTX196609 RDS196609:RDT196609 RNO196609:RNP196609 RXK196609:RXL196609 SHG196609:SHH196609 SRC196609:SRD196609 TAY196609:TAZ196609 TKU196609:TKV196609 TUQ196609:TUR196609 UEM196609:UEN196609 UOI196609:UOJ196609 UYE196609:UYF196609 VIA196609:VIB196609 VRW196609:VRX196609 WBS196609:WBT196609 WLO196609:WLP196609 WVK196609:WVL196609 C262145:D262145 IY262145:IZ262145 SU262145:SV262145 ACQ262145:ACR262145 AMM262145:AMN262145 AWI262145:AWJ262145 BGE262145:BGF262145 BQA262145:BQB262145 BZW262145:BZX262145 CJS262145:CJT262145 CTO262145:CTP262145 DDK262145:DDL262145 DNG262145:DNH262145 DXC262145:DXD262145 EGY262145:EGZ262145 EQU262145:EQV262145 FAQ262145:FAR262145 FKM262145:FKN262145 FUI262145:FUJ262145 GEE262145:GEF262145 GOA262145:GOB262145 GXW262145:GXX262145 HHS262145:HHT262145 HRO262145:HRP262145 IBK262145:IBL262145 ILG262145:ILH262145 IVC262145:IVD262145 JEY262145:JEZ262145 JOU262145:JOV262145 JYQ262145:JYR262145 KIM262145:KIN262145 KSI262145:KSJ262145 LCE262145:LCF262145 LMA262145:LMB262145 LVW262145:LVX262145 MFS262145:MFT262145 MPO262145:MPP262145 MZK262145:MZL262145 NJG262145:NJH262145 NTC262145:NTD262145 OCY262145:OCZ262145 OMU262145:OMV262145 OWQ262145:OWR262145 PGM262145:PGN262145 PQI262145:PQJ262145 QAE262145:QAF262145 QKA262145:QKB262145 QTW262145:QTX262145 RDS262145:RDT262145 RNO262145:RNP262145 RXK262145:RXL262145 SHG262145:SHH262145 SRC262145:SRD262145 TAY262145:TAZ262145 TKU262145:TKV262145 TUQ262145:TUR262145 UEM262145:UEN262145 UOI262145:UOJ262145 UYE262145:UYF262145 VIA262145:VIB262145 VRW262145:VRX262145 WBS262145:WBT262145 WLO262145:WLP262145 WVK262145:WVL262145 C327681:D327681 IY327681:IZ327681 SU327681:SV327681 ACQ327681:ACR327681 AMM327681:AMN327681 AWI327681:AWJ327681 BGE327681:BGF327681 BQA327681:BQB327681 BZW327681:BZX327681 CJS327681:CJT327681 CTO327681:CTP327681 DDK327681:DDL327681 DNG327681:DNH327681 DXC327681:DXD327681 EGY327681:EGZ327681 EQU327681:EQV327681 FAQ327681:FAR327681 FKM327681:FKN327681 FUI327681:FUJ327681 GEE327681:GEF327681 GOA327681:GOB327681 GXW327681:GXX327681 HHS327681:HHT327681 HRO327681:HRP327681 IBK327681:IBL327681 ILG327681:ILH327681 IVC327681:IVD327681 JEY327681:JEZ327681 JOU327681:JOV327681 JYQ327681:JYR327681 KIM327681:KIN327681 KSI327681:KSJ327681 LCE327681:LCF327681 LMA327681:LMB327681 LVW327681:LVX327681 MFS327681:MFT327681 MPO327681:MPP327681 MZK327681:MZL327681 NJG327681:NJH327681 NTC327681:NTD327681 OCY327681:OCZ327681 OMU327681:OMV327681 OWQ327681:OWR327681 PGM327681:PGN327681 PQI327681:PQJ327681 QAE327681:QAF327681 QKA327681:QKB327681 QTW327681:QTX327681 RDS327681:RDT327681 RNO327681:RNP327681 RXK327681:RXL327681 SHG327681:SHH327681 SRC327681:SRD327681 TAY327681:TAZ327681 TKU327681:TKV327681 TUQ327681:TUR327681 UEM327681:UEN327681 UOI327681:UOJ327681 UYE327681:UYF327681 VIA327681:VIB327681 VRW327681:VRX327681 WBS327681:WBT327681 WLO327681:WLP327681 WVK327681:WVL327681 C393217:D393217 IY393217:IZ393217 SU393217:SV393217 ACQ393217:ACR393217 AMM393217:AMN393217 AWI393217:AWJ393217 BGE393217:BGF393217 BQA393217:BQB393217 BZW393217:BZX393217 CJS393217:CJT393217 CTO393217:CTP393217 DDK393217:DDL393217 DNG393217:DNH393217 DXC393217:DXD393217 EGY393217:EGZ393217 EQU393217:EQV393217 FAQ393217:FAR393217 FKM393217:FKN393217 FUI393217:FUJ393217 GEE393217:GEF393217 GOA393217:GOB393217 GXW393217:GXX393217 HHS393217:HHT393217 HRO393217:HRP393217 IBK393217:IBL393217 ILG393217:ILH393217 IVC393217:IVD393217 JEY393217:JEZ393217 JOU393217:JOV393217 JYQ393217:JYR393217 KIM393217:KIN393217 KSI393217:KSJ393217 LCE393217:LCF393217 LMA393217:LMB393217 LVW393217:LVX393217 MFS393217:MFT393217 MPO393217:MPP393217 MZK393217:MZL393217 NJG393217:NJH393217 NTC393217:NTD393217 OCY393217:OCZ393217 OMU393217:OMV393217 OWQ393217:OWR393217 PGM393217:PGN393217 PQI393217:PQJ393217 QAE393217:QAF393217 QKA393217:QKB393217 QTW393217:QTX393217 RDS393217:RDT393217 RNO393217:RNP393217 RXK393217:RXL393217 SHG393217:SHH393217 SRC393217:SRD393217 TAY393217:TAZ393217 TKU393217:TKV393217 TUQ393217:TUR393217 UEM393217:UEN393217 UOI393217:UOJ393217 UYE393217:UYF393217 VIA393217:VIB393217 VRW393217:VRX393217 WBS393217:WBT393217 WLO393217:WLP393217 WVK393217:WVL393217 C458753:D458753 IY458753:IZ458753 SU458753:SV458753 ACQ458753:ACR458753 AMM458753:AMN458753 AWI458753:AWJ458753 BGE458753:BGF458753 BQA458753:BQB458753 BZW458753:BZX458753 CJS458753:CJT458753 CTO458753:CTP458753 DDK458753:DDL458753 DNG458753:DNH458753 DXC458753:DXD458753 EGY458753:EGZ458753 EQU458753:EQV458753 FAQ458753:FAR458753 FKM458753:FKN458753 FUI458753:FUJ458753 GEE458753:GEF458753 GOA458753:GOB458753 GXW458753:GXX458753 HHS458753:HHT458753 HRO458753:HRP458753 IBK458753:IBL458753 ILG458753:ILH458753 IVC458753:IVD458753 JEY458753:JEZ458753 JOU458753:JOV458753 JYQ458753:JYR458753 KIM458753:KIN458753 KSI458753:KSJ458753 LCE458753:LCF458753 LMA458753:LMB458753 LVW458753:LVX458753 MFS458753:MFT458753 MPO458753:MPP458753 MZK458753:MZL458753 NJG458753:NJH458753 NTC458753:NTD458753 OCY458753:OCZ458753 OMU458753:OMV458753 OWQ458753:OWR458753 PGM458753:PGN458753 PQI458753:PQJ458753 QAE458753:QAF458753 QKA458753:QKB458753 QTW458753:QTX458753 RDS458753:RDT458753 RNO458753:RNP458753 RXK458753:RXL458753 SHG458753:SHH458753 SRC458753:SRD458753 TAY458753:TAZ458753 TKU458753:TKV458753 TUQ458753:TUR458753 UEM458753:UEN458753 UOI458753:UOJ458753 UYE458753:UYF458753 VIA458753:VIB458753 VRW458753:VRX458753 WBS458753:WBT458753 WLO458753:WLP458753 WVK458753:WVL458753 C524289:D524289 IY524289:IZ524289 SU524289:SV524289 ACQ524289:ACR524289 AMM524289:AMN524289 AWI524289:AWJ524289 BGE524289:BGF524289 BQA524289:BQB524289 BZW524289:BZX524289 CJS524289:CJT524289 CTO524289:CTP524289 DDK524289:DDL524289 DNG524289:DNH524289 DXC524289:DXD524289 EGY524289:EGZ524289 EQU524289:EQV524289 FAQ524289:FAR524289 FKM524289:FKN524289 FUI524289:FUJ524289 GEE524289:GEF524289 GOA524289:GOB524289 GXW524289:GXX524289 HHS524289:HHT524289 HRO524289:HRP524289 IBK524289:IBL524289 ILG524289:ILH524289 IVC524289:IVD524289 JEY524289:JEZ524289 JOU524289:JOV524289 JYQ524289:JYR524289 KIM524289:KIN524289 KSI524289:KSJ524289 LCE524289:LCF524289 LMA524289:LMB524289 LVW524289:LVX524289 MFS524289:MFT524289 MPO524289:MPP524289 MZK524289:MZL524289 NJG524289:NJH524289 NTC524289:NTD524289 OCY524289:OCZ524289 OMU524289:OMV524289 OWQ524289:OWR524289 PGM524289:PGN524289 PQI524289:PQJ524289 QAE524289:QAF524289 QKA524289:QKB524289 QTW524289:QTX524289 RDS524289:RDT524289 RNO524289:RNP524289 RXK524289:RXL524289 SHG524289:SHH524289 SRC524289:SRD524289 TAY524289:TAZ524289 TKU524289:TKV524289 TUQ524289:TUR524289 UEM524289:UEN524289 UOI524289:UOJ524289 UYE524289:UYF524289 VIA524289:VIB524289 VRW524289:VRX524289 WBS524289:WBT524289 WLO524289:WLP524289 WVK524289:WVL524289 C589825:D589825 IY589825:IZ589825 SU589825:SV589825 ACQ589825:ACR589825 AMM589825:AMN589825 AWI589825:AWJ589825 BGE589825:BGF589825 BQA589825:BQB589825 BZW589825:BZX589825 CJS589825:CJT589825 CTO589825:CTP589825 DDK589825:DDL589825 DNG589825:DNH589825 DXC589825:DXD589825 EGY589825:EGZ589825 EQU589825:EQV589825 FAQ589825:FAR589825 FKM589825:FKN589825 FUI589825:FUJ589825 GEE589825:GEF589825 GOA589825:GOB589825 GXW589825:GXX589825 HHS589825:HHT589825 HRO589825:HRP589825 IBK589825:IBL589825 ILG589825:ILH589825 IVC589825:IVD589825 JEY589825:JEZ589825 JOU589825:JOV589825 JYQ589825:JYR589825 KIM589825:KIN589825 KSI589825:KSJ589825 LCE589825:LCF589825 LMA589825:LMB589825 LVW589825:LVX589825 MFS589825:MFT589825 MPO589825:MPP589825 MZK589825:MZL589825 NJG589825:NJH589825 NTC589825:NTD589825 OCY589825:OCZ589825 OMU589825:OMV589825 OWQ589825:OWR589825 PGM589825:PGN589825 PQI589825:PQJ589825 QAE589825:QAF589825 QKA589825:QKB589825 QTW589825:QTX589825 RDS589825:RDT589825 RNO589825:RNP589825 RXK589825:RXL589825 SHG589825:SHH589825 SRC589825:SRD589825 TAY589825:TAZ589825 TKU589825:TKV589825 TUQ589825:TUR589825 UEM589825:UEN589825 UOI589825:UOJ589825 UYE589825:UYF589825 VIA589825:VIB589825 VRW589825:VRX589825 WBS589825:WBT589825 WLO589825:WLP589825 WVK589825:WVL589825 C655361:D655361 IY655361:IZ655361 SU655361:SV655361 ACQ655361:ACR655361 AMM655361:AMN655361 AWI655361:AWJ655361 BGE655361:BGF655361 BQA655361:BQB655361 BZW655361:BZX655361 CJS655361:CJT655361 CTO655361:CTP655361 DDK655361:DDL655361 DNG655361:DNH655361 DXC655361:DXD655361 EGY655361:EGZ655361 EQU655361:EQV655361 FAQ655361:FAR655361 FKM655361:FKN655361 FUI655361:FUJ655361 GEE655361:GEF655361 GOA655361:GOB655361 GXW655361:GXX655361 HHS655361:HHT655361 HRO655361:HRP655361 IBK655361:IBL655361 ILG655361:ILH655361 IVC655361:IVD655361 JEY655361:JEZ655361 JOU655361:JOV655361 JYQ655361:JYR655361 KIM655361:KIN655361 KSI655361:KSJ655361 LCE655361:LCF655361 LMA655361:LMB655361 LVW655361:LVX655361 MFS655361:MFT655361 MPO655361:MPP655361 MZK655361:MZL655361 NJG655361:NJH655361 NTC655361:NTD655361 OCY655361:OCZ655361 OMU655361:OMV655361 OWQ655361:OWR655361 PGM655361:PGN655361 PQI655361:PQJ655361 QAE655361:QAF655361 QKA655361:QKB655361 QTW655361:QTX655361 RDS655361:RDT655361 RNO655361:RNP655361 RXK655361:RXL655361 SHG655361:SHH655361 SRC655361:SRD655361 TAY655361:TAZ655361 TKU655361:TKV655361 TUQ655361:TUR655361 UEM655361:UEN655361 UOI655361:UOJ655361 UYE655361:UYF655361 VIA655361:VIB655361 VRW655361:VRX655361 WBS655361:WBT655361 WLO655361:WLP655361 WVK655361:WVL655361 C720897:D720897 IY720897:IZ720897 SU720897:SV720897 ACQ720897:ACR720897 AMM720897:AMN720897 AWI720897:AWJ720897 BGE720897:BGF720897 BQA720897:BQB720897 BZW720897:BZX720897 CJS720897:CJT720897 CTO720897:CTP720897 DDK720897:DDL720897 DNG720897:DNH720897 DXC720897:DXD720897 EGY720897:EGZ720897 EQU720897:EQV720897 FAQ720897:FAR720897 FKM720897:FKN720897 FUI720897:FUJ720897 GEE720897:GEF720897 GOA720897:GOB720897 GXW720897:GXX720897 HHS720897:HHT720897 HRO720897:HRP720897 IBK720897:IBL720897 ILG720897:ILH720897 IVC720897:IVD720897 JEY720897:JEZ720897 JOU720897:JOV720897 JYQ720897:JYR720897 KIM720897:KIN720897 KSI720897:KSJ720897 LCE720897:LCF720897 LMA720897:LMB720897 LVW720897:LVX720897 MFS720897:MFT720897 MPO720897:MPP720897 MZK720897:MZL720897 NJG720897:NJH720897 NTC720897:NTD720897 OCY720897:OCZ720897 OMU720897:OMV720897 OWQ720897:OWR720897 PGM720897:PGN720897 PQI720897:PQJ720897 QAE720897:QAF720897 QKA720897:QKB720897 QTW720897:QTX720897 RDS720897:RDT720897 RNO720897:RNP720897 RXK720897:RXL720897 SHG720897:SHH720897 SRC720897:SRD720897 TAY720897:TAZ720897 TKU720897:TKV720897 TUQ720897:TUR720897 UEM720897:UEN720897 UOI720897:UOJ720897 UYE720897:UYF720897 VIA720897:VIB720897 VRW720897:VRX720897 WBS720897:WBT720897 WLO720897:WLP720897 WVK720897:WVL720897 C786433:D786433 IY786433:IZ786433 SU786433:SV786433 ACQ786433:ACR786433 AMM786433:AMN786433 AWI786433:AWJ786433 BGE786433:BGF786433 BQA786433:BQB786433 BZW786433:BZX786433 CJS786433:CJT786433 CTO786433:CTP786433 DDK786433:DDL786433 DNG786433:DNH786433 DXC786433:DXD786433 EGY786433:EGZ786433 EQU786433:EQV786433 FAQ786433:FAR786433 FKM786433:FKN786433 FUI786433:FUJ786433 GEE786433:GEF786433 GOA786433:GOB786433 GXW786433:GXX786433 HHS786433:HHT786433 HRO786433:HRP786433 IBK786433:IBL786433 ILG786433:ILH786433 IVC786433:IVD786433 JEY786433:JEZ786433 JOU786433:JOV786433 JYQ786433:JYR786433 KIM786433:KIN786433 KSI786433:KSJ786433 LCE786433:LCF786433 LMA786433:LMB786433 LVW786433:LVX786433 MFS786433:MFT786433 MPO786433:MPP786433 MZK786433:MZL786433 NJG786433:NJH786433 NTC786433:NTD786433 OCY786433:OCZ786433 OMU786433:OMV786433 OWQ786433:OWR786433 PGM786433:PGN786433 PQI786433:PQJ786433 QAE786433:QAF786433 QKA786433:QKB786433 QTW786433:QTX786433 RDS786433:RDT786433 RNO786433:RNP786433 RXK786433:RXL786433 SHG786433:SHH786433 SRC786433:SRD786433 TAY786433:TAZ786433 TKU786433:TKV786433 TUQ786433:TUR786433 UEM786433:UEN786433 UOI786433:UOJ786433 UYE786433:UYF786433 VIA786433:VIB786433 VRW786433:VRX786433 WBS786433:WBT786433 WLO786433:WLP786433 WVK786433:WVL786433 C851969:D851969 IY851969:IZ851969 SU851969:SV851969 ACQ851969:ACR851969 AMM851969:AMN851969 AWI851969:AWJ851969 BGE851969:BGF851969 BQA851969:BQB851969 BZW851969:BZX851969 CJS851969:CJT851969 CTO851969:CTP851969 DDK851969:DDL851969 DNG851969:DNH851969 DXC851969:DXD851969 EGY851969:EGZ851969 EQU851969:EQV851969 FAQ851969:FAR851969 FKM851969:FKN851969 FUI851969:FUJ851969 GEE851969:GEF851969 GOA851969:GOB851969 GXW851969:GXX851969 HHS851969:HHT851969 HRO851969:HRP851969 IBK851969:IBL851969 ILG851969:ILH851969 IVC851969:IVD851969 JEY851969:JEZ851969 JOU851969:JOV851969 JYQ851969:JYR851969 KIM851969:KIN851969 KSI851969:KSJ851969 LCE851969:LCF851969 LMA851969:LMB851969 LVW851969:LVX851969 MFS851969:MFT851969 MPO851969:MPP851969 MZK851969:MZL851969 NJG851969:NJH851969 NTC851969:NTD851969 OCY851969:OCZ851969 OMU851969:OMV851969 OWQ851969:OWR851969 PGM851969:PGN851969 PQI851969:PQJ851969 QAE851969:QAF851969 QKA851969:QKB851969 QTW851969:QTX851969 RDS851969:RDT851969 RNO851969:RNP851969 RXK851969:RXL851969 SHG851969:SHH851969 SRC851969:SRD851969 TAY851969:TAZ851969 TKU851969:TKV851969 TUQ851969:TUR851969 UEM851969:UEN851969 UOI851969:UOJ851969 UYE851969:UYF851969 VIA851969:VIB851969 VRW851969:VRX851969 WBS851969:WBT851969 WLO851969:WLP851969 WVK851969:WVL851969 C917505:D917505 IY917505:IZ917505 SU917505:SV917505 ACQ917505:ACR917505 AMM917505:AMN917505 AWI917505:AWJ917505 BGE917505:BGF917505 BQA917505:BQB917505 BZW917505:BZX917505 CJS917505:CJT917505 CTO917505:CTP917505 DDK917505:DDL917505 DNG917505:DNH917505 DXC917505:DXD917505 EGY917505:EGZ917505 EQU917505:EQV917505 FAQ917505:FAR917505 FKM917505:FKN917505 FUI917505:FUJ917505 GEE917505:GEF917505 GOA917505:GOB917505 GXW917505:GXX917505 HHS917505:HHT917505 HRO917505:HRP917505 IBK917505:IBL917505 ILG917505:ILH917505 IVC917505:IVD917505 JEY917505:JEZ917505 JOU917505:JOV917505 JYQ917505:JYR917505 KIM917505:KIN917505 KSI917505:KSJ917505 LCE917505:LCF917505 LMA917505:LMB917505 LVW917505:LVX917505 MFS917505:MFT917505 MPO917505:MPP917505 MZK917505:MZL917505 NJG917505:NJH917505 NTC917505:NTD917505 OCY917505:OCZ917505 OMU917505:OMV917505 OWQ917505:OWR917505 PGM917505:PGN917505 PQI917505:PQJ917505 QAE917505:QAF917505 QKA917505:QKB917505 QTW917505:QTX917505 RDS917505:RDT917505 RNO917505:RNP917505 RXK917505:RXL917505 SHG917505:SHH917505 SRC917505:SRD917505 TAY917505:TAZ917505 TKU917505:TKV917505 TUQ917505:TUR917505 UEM917505:UEN917505 UOI917505:UOJ917505 UYE917505:UYF917505 VIA917505:VIB917505 VRW917505:VRX917505 WBS917505:WBT917505 WLO917505:WLP917505 WVK917505:WVL917505 C983041:D983041 IY983041:IZ983041 SU983041:SV983041 ACQ983041:ACR983041 AMM983041:AMN983041 AWI983041:AWJ983041 BGE983041:BGF983041 BQA983041:BQB983041 BZW983041:BZX983041 CJS983041:CJT983041 CTO983041:CTP983041 DDK983041:DDL983041 DNG983041:DNH983041 DXC983041:DXD983041 EGY983041:EGZ983041 EQU983041:EQV983041 FAQ983041:FAR983041 FKM983041:FKN983041 FUI983041:FUJ983041 GEE983041:GEF983041 GOA983041:GOB983041 GXW983041:GXX983041 HHS983041:HHT983041 HRO983041:HRP983041 IBK983041:IBL983041 ILG983041:ILH983041 IVC983041:IVD983041 JEY983041:JEZ983041 JOU983041:JOV983041 JYQ983041:JYR983041 KIM983041:KIN983041 KSI983041:KSJ983041 LCE983041:LCF983041 LMA983041:LMB983041 LVW983041:LVX983041 MFS983041:MFT983041 MPO983041:MPP983041 MZK983041:MZL983041 NJG983041:NJH983041 NTC983041:NTD983041 OCY983041:OCZ983041 OMU983041:OMV983041 OWQ983041:OWR983041 PGM983041:PGN983041 PQI983041:PQJ983041 QAE983041:QAF983041 QKA983041:QKB983041 QTW983041:QTX983041 RDS983041:RDT983041 RNO983041:RNP983041 RXK983041:RXL983041 SHG983041:SHH983041 SRC983041:SRD983041 TAY983041:TAZ983041 TKU983041:TKV983041 TUQ983041:TUR983041 UEM983041:UEN983041 UOI983041:UOJ983041 UYE983041:UYF983041 VIA983041:VIB983041 VRW983041:VRX983041 WBS983041:WBT983041 WLO983041:WLP983041 WVK983041:WVL983041 F65537 F131073 F196609 F262145 F327681 F393217 F458753 F524289 F589825 F655361 F720897 F786433 F851969 F917505" xr:uid="{00000000-0002-0000-0000-000003000000}">
      <formula1>#REF!</formula1>
    </dataValidation>
    <dataValidation type="list" allowBlank="1" showInputMessage="1" showErrorMessage="1" prompt="Selecione o cargo" sqref="C6" xr:uid="{00000000-0002-0000-0000-000004000000}">
      <formula1>INDIRECT($C$5)</formula1>
    </dataValidation>
  </dataValidations>
  <pageMargins left="0.511811024" right="0.511811024" top="0.78740157499999996" bottom="0.78740157499999996" header="0.31496062000000002" footer="0.31496062000000002"/>
  <pageSetup paperSize="9" scale="47"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Selecione a área do colaborador" xr:uid="{00000000-0002-0000-0000-000005000000}">
          <x14:formula1>
            <xm:f>Cargos!$A$1:$E$1</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zoomScaleNormal="100" workbookViewId="0">
      <selection activeCell="C20" sqref="C20"/>
    </sheetView>
  </sheetViews>
  <sheetFormatPr defaultColWidth="9.28515625" defaultRowHeight="12.75" x14ac:dyDescent="0.25"/>
  <cols>
    <col min="1" max="1" width="1.7109375" style="4" customWidth="1"/>
    <col min="2" max="2" width="19.7109375" style="4" customWidth="1"/>
    <col min="3" max="3" width="50.7109375" style="4" customWidth="1"/>
    <col min="4" max="6" width="17.28515625" style="4" customWidth="1"/>
    <col min="7" max="7" width="50.7109375" style="4" customWidth="1"/>
    <col min="8" max="8" width="29" style="4" customWidth="1"/>
    <col min="9" max="17" width="14.5703125" style="4" customWidth="1"/>
    <col min="18" max="18" width="12" style="4" customWidth="1"/>
    <col min="19" max="19" width="17.28515625" style="4" customWidth="1"/>
    <col min="20" max="20" width="11.42578125" style="4" customWidth="1"/>
    <col min="21" max="256" width="9.28515625" style="4"/>
    <col min="257" max="257" width="1.7109375" style="4" customWidth="1"/>
    <col min="258" max="258" width="19.7109375" style="4" customWidth="1"/>
    <col min="259" max="261" width="50.7109375" style="4" customWidth="1"/>
    <col min="262" max="262" width="1.42578125" style="4" customWidth="1"/>
    <col min="263" max="263" width="27.42578125" style="4" customWidth="1"/>
    <col min="264" max="264" width="29" style="4" customWidth="1"/>
    <col min="265" max="273" width="14.5703125" style="4" customWidth="1"/>
    <col min="274" max="274" width="12" style="4" customWidth="1"/>
    <col min="275" max="275" width="17.28515625" style="4" customWidth="1"/>
    <col min="276" max="276" width="11.42578125" style="4" customWidth="1"/>
    <col min="277" max="512" width="9.28515625" style="4"/>
    <col min="513" max="513" width="1.7109375" style="4" customWidth="1"/>
    <col min="514" max="514" width="19.7109375" style="4" customWidth="1"/>
    <col min="515" max="517" width="50.7109375" style="4" customWidth="1"/>
    <col min="518" max="518" width="1.42578125" style="4" customWidth="1"/>
    <col min="519" max="519" width="27.42578125" style="4" customWidth="1"/>
    <col min="520" max="520" width="29" style="4" customWidth="1"/>
    <col min="521" max="529" width="14.5703125" style="4" customWidth="1"/>
    <col min="530" max="530" width="12" style="4" customWidth="1"/>
    <col min="531" max="531" width="17.28515625" style="4" customWidth="1"/>
    <col min="532" max="532" width="11.42578125" style="4" customWidth="1"/>
    <col min="533" max="768" width="9.28515625" style="4"/>
    <col min="769" max="769" width="1.7109375" style="4" customWidth="1"/>
    <col min="770" max="770" width="19.7109375" style="4" customWidth="1"/>
    <col min="771" max="773" width="50.7109375" style="4" customWidth="1"/>
    <col min="774" max="774" width="1.42578125" style="4" customWidth="1"/>
    <col min="775" max="775" width="27.42578125" style="4" customWidth="1"/>
    <col min="776" max="776" width="29" style="4" customWidth="1"/>
    <col min="777" max="785" width="14.5703125" style="4" customWidth="1"/>
    <col min="786" max="786" width="12" style="4" customWidth="1"/>
    <col min="787" max="787" width="17.28515625" style="4" customWidth="1"/>
    <col min="788" max="788" width="11.42578125" style="4" customWidth="1"/>
    <col min="789" max="1024" width="9.28515625" style="4"/>
    <col min="1025" max="1025" width="1.7109375" style="4" customWidth="1"/>
    <col min="1026" max="1026" width="19.7109375" style="4" customWidth="1"/>
    <col min="1027" max="1029" width="50.7109375" style="4" customWidth="1"/>
    <col min="1030" max="1030" width="1.42578125" style="4" customWidth="1"/>
    <col min="1031" max="1031" width="27.42578125" style="4" customWidth="1"/>
    <col min="1032" max="1032" width="29" style="4" customWidth="1"/>
    <col min="1033" max="1041" width="14.5703125" style="4" customWidth="1"/>
    <col min="1042" max="1042" width="12" style="4" customWidth="1"/>
    <col min="1043" max="1043" width="17.28515625" style="4" customWidth="1"/>
    <col min="1044" max="1044" width="11.42578125" style="4" customWidth="1"/>
    <col min="1045" max="1280" width="9.28515625" style="4"/>
    <col min="1281" max="1281" width="1.7109375" style="4" customWidth="1"/>
    <col min="1282" max="1282" width="19.7109375" style="4" customWidth="1"/>
    <col min="1283" max="1285" width="50.7109375" style="4" customWidth="1"/>
    <col min="1286" max="1286" width="1.42578125" style="4" customWidth="1"/>
    <col min="1287" max="1287" width="27.42578125" style="4" customWidth="1"/>
    <col min="1288" max="1288" width="29" style="4" customWidth="1"/>
    <col min="1289" max="1297" width="14.5703125" style="4" customWidth="1"/>
    <col min="1298" max="1298" width="12" style="4" customWidth="1"/>
    <col min="1299" max="1299" width="17.28515625" style="4" customWidth="1"/>
    <col min="1300" max="1300" width="11.42578125" style="4" customWidth="1"/>
    <col min="1301" max="1536" width="9.28515625" style="4"/>
    <col min="1537" max="1537" width="1.7109375" style="4" customWidth="1"/>
    <col min="1538" max="1538" width="19.7109375" style="4" customWidth="1"/>
    <col min="1539" max="1541" width="50.7109375" style="4" customWidth="1"/>
    <col min="1542" max="1542" width="1.42578125" style="4" customWidth="1"/>
    <col min="1543" max="1543" width="27.42578125" style="4" customWidth="1"/>
    <col min="1544" max="1544" width="29" style="4" customWidth="1"/>
    <col min="1545" max="1553" width="14.5703125" style="4" customWidth="1"/>
    <col min="1554" max="1554" width="12" style="4" customWidth="1"/>
    <col min="1555" max="1555" width="17.28515625" style="4" customWidth="1"/>
    <col min="1556" max="1556" width="11.42578125" style="4" customWidth="1"/>
    <col min="1557" max="1792" width="9.28515625" style="4"/>
    <col min="1793" max="1793" width="1.7109375" style="4" customWidth="1"/>
    <col min="1794" max="1794" width="19.7109375" style="4" customWidth="1"/>
    <col min="1795" max="1797" width="50.7109375" style="4" customWidth="1"/>
    <col min="1798" max="1798" width="1.42578125" style="4" customWidth="1"/>
    <col min="1799" max="1799" width="27.42578125" style="4" customWidth="1"/>
    <col min="1800" max="1800" width="29" style="4" customWidth="1"/>
    <col min="1801" max="1809" width="14.5703125" style="4" customWidth="1"/>
    <col min="1810" max="1810" width="12" style="4" customWidth="1"/>
    <col min="1811" max="1811" width="17.28515625" style="4" customWidth="1"/>
    <col min="1812" max="1812" width="11.42578125" style="4" customWidth="1"/>
    <col min="1813" max="2048" width="9.28515625" style="4"/>
    <col min="2049" max="2049" width="1.7109375" style="4" customWidth="1"/>
    <col min="2050" max="2050" width="19.7109375" style="4" customWidth="1"/>
    <col min="2051" max="2053" width="50.7109375" style="4" customWidth="1"/>
    <col min="2054" max="2054" width="1.42578125" style="4" customWidth="1"/>
    <col min="2055" max="2055" width="27.42578125" style="4" customWidth="1"/>
    <col min="2056" max="2056" width="29" style="4" customWidth="1"/>
    <col min="2057" max="2065" width="14.5703125" style="4" customWidth="1"/>
    <col min="2066" max="2066" width="12" style="4" customWidth="1"/>
    <col min="2067" max="2067" width="17.28515625" style="4" customWidth="1"/>
    <col min="2068" max="2068" width="11.42578125" style="4" customWidth="1"/>
    <col min="2069" max="2304" width="9.28515625" style="4"/>
    <col min="2305" max="2305" width="1.7109375" style="4" customWidth="1"/>
    <col min="2306" max="2306" width="19.7109375" style="4" customWidth="1"/>
    <col min="2307" max="2309" width="50.7109375" style="4" customWidth="1"/>
    <col min="2310" max="2310" width="1.42578125" style="4" customWidth="1"/>
    <col min="2311" max="2311" width="27.42578125" style="4" customWidth="1"/>
    <col min="2312" max="2312" width="29" style="4" customWidth="1"/>
    <col min="2313" max="2321" width="14.5703125" style="4" customWidth="1"/>
    <col min="2322" max="2322" width="12" style="4" customWidth="1"/>
    <col min="2323" max="2323" width="17.28515625" style="4" customWidth="1"/>
    <col min="2324" max="2324" width="11.42578125" style="4" customWidth="1"/>
    <col min="2325" max="2560" width="9.28515625" style="4"/>
    <col min="2561" max="2561" width="1.7109375" style="4" customWidth="1"/>
    <col min="2562" max="2562" width="19.7109375" style="4" customWidth="1"/>
    <col min="2563" max="2565" width="50.7109375" style="4" customWidth="1"/>
    <col min="2566" max="2566" width="1.42578125" style="4" customWidth="1"/>
    <col min="2567" max="2567" width="27.42578125" style="4" customWidth="1"/>
    <col min="2568" max="2568" width="29" style="4" customWidth="1"/>
    <col min="2569" max="2577" width="14.5703125" style="4" customWidth="1"/>
    <col min="2578" max="2578" width="12" style="4" customWidth="1"/>
    <col min="2579" max="2579" width="17.28515625" style="4" customWidth="1"/>
    <col min="2580" max="2580" width="11.42578125" style="4" customWidth="1"/>
    <col min="2581" max="2816" width="9.28515625" style="4"/>
    <col min="2817" max="2817" width="1.7109375" style="4" customWidth="1"/>
    <col min="2818" max="2818" width="19.7109375" style="4" customWidth="1"/>
    <col min="2819" max="2821" width="50.7109375" style="4" customWidth="1"/>
    <col min="2822" max="2822" width="1.42578125" style="4" customWidth="1"/>
    <col min="2823" max="2823" width="27.42578125" style="4" customWidth="1"/>
    <col min="2824" max="2824" width="29" style="4" customWidth="1"/>
    <col min="2825" max="2833" width="14.5703125" style="4" customWidth="1"/>
    <col min="2834" max="2834" width="12" style="4" customWidth="1"/>
    <col min="2835" max="2835" width="17.28515625" style="4" customWidth="1"/>
    <col min="2836" max="2836" width="11.42578125" style="4" customWidth="1"/>
    <col min="2837" max="3072" width="9.28515625" style="4"/>
    <col min="3073" max="3073" width="1.7109375" style="4" customWidth="1"/>
    <col min="3074" max="3074" width="19.7109375" style="4" customWidth="1"/>
    <col min="3075" max="3077" width="50.7109375" style="4" customWidth="1"/>
    <col min="3078" max="3078" width="1.42578125" style="4" customWidth="1"/>
    <col min="3079" max="3079" width="27.42578125" style="4" customWidth="1"/>
    <col min="3080" max="3080" width="29" style="4" customWidth="1"/>
    <col min="3081" max="3089" width="14.5703125" style="4" customWidth="1"/>
    <col min="3090" max="3090" width="12" style="4" customWidth="1"/>
    <col min="3091" max="3091" width="17.28515625" style="4" customWidth="1"/>
    <col min="3092" max="3092" width="11.42578125" style="4" customWidth="1"/>
    <col min="3093" max="3328" width="9.28515625" style="4"/>
    <col min="3329" max="3329" width="1.7109375" style="4" customWidth="1"/>
    <col min="3330" max="3330" width="19.7109375" style="4" customWidth="1"/>
    <col min="3331" max="3333" width="50.7109375" style="4" customWidth="1"/>
    <col min="3334" max="3334" width="1.42578125" style="4" customWidth="1"/>
    <col min="3335" max="3335" width="27.42578125" style="4" customWidth="1"/>
    <col min="3336" max="3336" width="29" style="4" customWidth="1"/>
    <col min="3337" max="3345" width="14.5703125" style="4" customWidth="1"/>
    <col min="3346" max="3346" width="12" style="4" customWidth="1"/>
    <col min="3347" max="3347" width="17.28515625" style="4" customWidth="1"/>
    <col min="3348" max="3348" width="11.42578125" style="4" customWidth="1"/>
    <col min="3349" max="3584" width="9.28515625" style="4"/>
    <col min="3585" max="3585" width="1.7109375" style="4" customWidth="1"/>
    <col min="3586" max="3586" width="19.7109375" style="4" customWidth="1"/>
    <col min="3587" max="3589" width="50.7109375" style="4" customWidth="1"/>
    <col min="3590" max="3590" width="1.42578125" style="4" customWidth="1"/>
    <col min="3591" max="3591" width="27.42578125" style="4" customWidth="1"/>
    <col min="3592" max="3592" width="29" style="4" customWidth="1"/>
    <col min="3593" max="3601" width="14.5703125" style="4" customWidth="1"/>
    <col min="3602" max="3602" width="12" style="4" customWidth="1"/>
    <col min="3603" max="3603" width="17.28515625" style="4" customWidth="1"/>
    <col min="3604" max="3604" width="11.42578125" style="4" customWidth="1"/>
    <col min="3605" max="3840" width="9.28515625" style="4"/>
    <col min="3841" max="3841" width="1.7109375" style="4" customWidth="1"/>
    <col min="3842" max="3842" width="19.7109375" style="4" customWidth="1"/>
    <col min="3843" max="3845" width="50.7109375" style="4" customWidth="1"/>
    <col min="3846" max="3846" width="1.42578125" style="4" customWidth="1"/>
    <col min="3847" max="3847" width="27.42578125" style="4" customWidth="1"/>
    <col min="3848" max="3848" width="29" style="4" customWidth="1"/>
    <col min="3849" max="3857" width="14.5703125" style="4" customWidth="1"/>
    <col min="3858" max="3858" width="12" style="4" customWidth="1"/>
    <col min="3859" max="3859" width="17.28515625" style="4" customWidth="1"/>
    <col min="3860" max="3860" width="11.42578125" style="4" customWidth="1"/>
    <col min="3861" max="4096" width="9.28515625" style="4"/>
    <col min="4097" max="4097" width="1.7109375" style="4" customWidth="1"/>
    <col min="4098" max="4098" width="19.7109375" style="4" customWidth="1"/>
    <col min="4099" max="4101" width="50.7109375" style="4" customWidth="1"/>
    <col min="4102" max="4102" width="1.42578125" style="4" customWidth="1"/>
    <col min="4103" max="4103" width="27.42578125" style="4" customWidth="1"/>
    <col min="4104" max="4104" width="29" style="4" customWidth="1"/>
    <col min="4105" max="4113" width="14.5703125" style="4" customWidth="1"/>
    <col min="4114" max="4114" width="12" style="4" customWidth="1"/>
    <col min="4115" max="4115" width="17.28515625" style="4" customWidth="1"/>
    <col min="4116" max="4116" width="11.42578125" style="4" customWidth="1"/>
    <col min="4117" max="4352" width="9.28515625" style="4"/>
    <col min="4353" max="4353" width="1.7109375" style="4" customWidth="1"/>
    <col min="4354" max="4354" width="19.7109375" style="4" customWidth="1"/>
    <col min="4355" max="4357" width="50.7109375" style="4" customWidth="1"/>
    <col min="4358" max="4358" width="1.42578125" style="4" customWidth="1"/>
    <col min="4359" max="4359" width="27.42578125" style="4" customWidth="1"/>
    <col min="4360" max="4360" width="29" style="4" customWidth="1"/>
    <col min="4361" max="4369" width="14.5703125" style="4" customWidth="1"/>
    <col min="4370" max="4370" width="12" style="4" customWidth="1"/>
    <col min="4371" max="4371" width="17.28515625" style="4" customWidth="1"/>
    <col min="4372" max="4372" width="11.42578125" style="4" customWidth="1"/>
    <col min="4373" max="4608" width="9.28515625" style="4"/>
    <col min="4609" max="4609" width="1.7109375" style="4" customWidth="1"/>
    <col min="4610" max="4610" width="19.7109375" style="4" customWidth="1"/>
    <col min="4611" max="4613" width="50.7109375" style="4" customWidth="1"/>
    <col min="4614" max="4614" width="1.42578125" style="4" customWidth="1"/>
    <col min="4615" max="4615" width="27.42578125" style="4" customWidth="1"/>
    <col min="4616" max="4616" width="29" style="4" customWidth="1"/>
    <col min="4617" max="4625" width="14.5703125" style="4" customWidth="1"/>
    <col min="4626" max="4626" width="12" style="4" customWidth="1"/>
    <col min="4627" max="4627" width="17.28515625" style="4" customWidth="1"/>
    <col min="4628" max="4628" width="11.42578125" style="4" customWidth="1"/>
    <col min="4629" max="4864" width="9.28515625" style="4"/>
    <col min="4865" max="4865" width="1.7109375" style="4" customWidth="1"/>
    <col min="4866" max="4866" width="19.7109375" style="4" customWidth="1"/>
    <col min="4867" max="4869" width="50.7109375" style="4" customWidth="1"/>
    <col min="4870" max="4870" width="1.42578125" style="4" customWidth="1"/>
    <col min="4871" max="4871" width="27.42578125" style="4" customWidth="1"/>
    <col min="4872" max="4872" width="29" style="4" customWidth="1"/>
    <col min="4873" max="4881" width="14.5703125" style="4" customWidth="1"/>
    <col min="4882" max="4882" width="12" style="4" customWidth="1"/>
    <col min="4883" max="4883" width="17.28515625" style="4" customWidth="1"/>
    <col min="4884" max="4884" width="11.42578125" style="4" customWidth="1"/>
    <col min="4885" max="5120" width="9.28515625" style="4"/>
    <col min="5121" max="5121" width="1.7109375" style="4" customWidth="1"/>
    <col min="5122" max="5122" width="19.7109375" style="4" customWidth="1"/>
    <col min="5123" max="5125" width="50.7109375" style="4" customWidth="1"/>
    <col min="5126" max="5126" width="1.42578125" style="4" customWidth="1"/>
    <col min="5127" max="5127" width="27.42578125" style="4" customWidth="1"/>
    <col min="5128" max="5128" width="29" style="4" customWidth="1"/>
    <col min="5129" max="5137" width="14.5703125" style="4" customWidth="1"/>
    <col min="5138" max="5138" width="12" style="4" customWidth="1"/>
    <col min="5139" max="5139" width="17.28515625" style="4" customWidth="1"/>
    <col min="5140" max="5140" width="11.42578125" style="4" customWidth="1"/>
    <col min="5141" max="5376" width="9.28515625" style="4"/>
    <col min="5377" max="5377" width="1.7109375" style="4" customWidth="1"/>
    <col min="5378" max="5378" width="19.7109375" style="4" customWidth="1"/>
    <col min="5379" max="5381" width="50.7109375" style="4" customWidth="1"/>
    <col min="5382" max="5382" width="1.42578125" style="4" customWidth="1"/>
    <col min="5383" max="5383" width="27.42578125" style="4" customWidth="1"/>
    <col min="5384" max="5384" width="29" style="4" customWidth="1"/>
    <col min="5385" max="5393" width="14.5703125" style="4" customWidth="1"/>
    <col min="5394" max="5394" width="12" style="4" customWidth="1"/>
    <col min="5395" max="5395" width="17.28515625" style="4" customWidth="1"/>
    <col min="5396" max="5396" width="11.42578125" style="4" customWidth="1"/>
    <col min="5397" max="5632" width="9.28515625" style="4"/>
    <col min="5633" max="5633" width="1.7109375" style="4" customWidth="1"/>
    <col min="5634" max="5634" width="19.7109375" style="4" customWidth="1"/>
    <col min="5635" max="5637" width="50.7109375" style="4" customWidth="1"/>
    <col min="5638" max="5638" width="1.42578125" style="4" customWidth="1"/>
    <col min="5639" max="5639" width="27.42578125" style="4" customWidth="1"/>
    <col min="5640" max="5640" width="29" style="4" customWidth="1"/>
    <col min="5641" max="5649" width="14.5703125" style="4" customWidth="1"/>
    <col min="5650" max="5650" width="12" style="4" customWidth="1"/>
    <col min="5651" max="5651" width="17.28515625" style="4" customWidth="1"/>
    <col min="5652" max="5652" width="11.42578125" style="4" customWidth="1"/>
    <col min="5653" max="5888" width="9.28515625" style="4"/>
    <col min="5889" max="5889" width="1.7109375" style="4" customWidth="1"/>
    <col min="5890" max="5890" width="19.7109375" style="4" customWidth="1"/>
    <col min="5891" max="5893" width="50.7109375" style="4" customWidth="1"/>
    <col min="5894" max="5894" width="1.42578125" style="4" customWidth="1"/>
    <col min="5895" max="5895" width="27.42578125" style="4" customWidth="1"/>
    <col min="5896" max="5896" width="29" style="4" customWidth="1"/>
    <col min="5897" max="5905" width="14.5703125" style="4" customWidth="1"/>
    <col min="5906" max="5906" width="12" style="4" customWidth="1"/>
    <col min="5907" max="5907" width="17.28515625" style="4" customWidth="1"/>
    <col min="5908" max="5908" width="11.42578125" style="4" customWidth="1"/>
    <col min="5909" max="6144" width="9.28515625" style="4"/>
    <col min="6145" max="6145" width="1.7109375" style="4" customWidth="1"/>
    <col min="6146" max="6146" width="19.7109375" style="4" customWidth="1"/>
    <col min="6147" max="6149" width="50.7109375" style="4" customWidth="1"/>
    <col min="6150" max="6150" width="1.42578125" style="4" customWidth="1"/>
    <col min="6151" max="6151" width="27.42578125" style="4" customWidth="1"/>
    <col min="6152" max="6152" width="29" style="4" customWidth="1"/>
    <col min="6153" max="6161" width="14.5703125" style="4" customWidth="1"/>
    <col min="6162" max="6162" width="12" style="4" customWidth="1"/>
    <col min="6163" max="6163" width="17.28515625" style="4" customWidth="1"/>
    <col min="6164" max="6164" width="11.42578125" style="4" customWidth="1"/>
    <col min="6165" max="6400" width="9.28515625" style="4"/>
    <col min="6401" max="6401" width="1.7109375" style="4" customWidth="1"/>
    <col min="6402" max="6402" width="19.7109375" style="4" customWidth="1"/>
    <col min="6403" max="6405" width="50.7109375" style="4" customWidth="1"/>
    <col min="6406" max="6406" width="1.42578125" style="4" customWidth="1"/>
    <col min="6407" max="6407" width="27.42578125" style="4" customWidth="1"/>
    <col min="6408" max="6408" width="29" style="4" customWidth="1"/>
    <col min="6409" max="6417" width="14.5703125" style="4" customWidth="1"/>
    <col min="6418" max="6418" width="12" style="4" customWidth="1"/>
    <col min="6419" max="6419" width="17.28515625" style="4" customWidth="1"/>
    <col min="6420" max="6420" width="11.42578125" style="4" customWidth="1"/>
    <col min="6421" max="6656" width="9.28515625" style="4"/>
    <col min="6657" max="6657" width="1.7109375" style="4" customWidth="1"/>
    <col min="6658" max="6658" width="19.7109375" style="4" customWidth="1"/>
    <col min="6659" max="6661" width="50.7109375" style="4" customWidth="1"/>
    <col min="6662" max="6662" width="1.42578125" style="4" customWidth="1"/>
    <col min="6663" max="6663" width="27.42578125" style="4" customWidth="1"/>
    <col min="6664" max="6664" width="29" style="4" customWidth="1"/>
    <col min="6665" max="6673" width="14.5703125" style="4" customWidth="1"/>
    <col min="6674" max="6674" width="12" style="4" customWidth="1"/>
    <col min="6675" max="6675" width="17.28515625" style="4" customWidth="1"/>
    <col min="6676" max="6676" width="11.42578125" style="4" customWidth="1"/>
    <col min="6677" max="6912" width="9.28515625" style="4"/>
    <col min="6913" max="6913" width="1.7109375" style="4" customWidth="1"/>
    <col min="6914" max="6914" width="19.7109375" style="4" customWidth="1"/>
    <col min="6915" max="6917" width="50.7109375" style="4" customWidth="1"/>
    <col min="6918" max="6918" width="1.42578125" style="4" customWidth="1"/>
    <col min="6919" max="6919" width="27.42578125" style="4" customWidth="1"/>
    <col min="6920" max="6920" width="29" style="4" customWidth="1"/>
    <col min="6921" max="6929" width="14.5703125" style="4" customWidth="1"/>
    <col min="6930" max="6930" width="12" style="4" customWidth="1"/>
    <col min="6931" max="6931" width="17.28515625" style="4" customWidth="1"/>
    <col min="6932" max="6932" width="11.42578125" style="4" customWidth="1"/>
    <col min="6933" max="7168" width="9.28515625" style="4"/>
    <col min="7169" max="7169" width="1.7109375" style="4" customWidth="1"/>
    <col min="7170" max="7170" width="19.7109375" style="4" customWidth="1"/>
    <col min="7171" max="7173" width="50.7109375" style="4" customWidth="1"/>
    <col min="7174" max="7174" width="1.42578125" style="4" customWidth="1"/>
    <col min="7175" max="7175" width="27.42578125" style="4" customWidth="1"/>
    <col min="7176" max="7176" width="29" style="4" customWidth="1"/>
    <col min="7177" max="7185" width="14.5703125" style="4" customWidth="1"/>
    <col min="7186" max="7186" width="12" style="4" customWidth="1"/>
    <col min="7187" max="7187" width="17.28515625" style="4" customWidth="1"/>
    <col min="7188" max="7188" width="11.42578125" style="4" customWidth="1"/>
    <col min="7189" max="7424" width="9.28515625" style="4"/>
    <col min="7425" max="7425" width="1.7109375" style="4" customWidth="1"/>
    <col min="7426" max="7426" width="19.7109375" style="4" customWidth="1"/>
    <col min="7427" max="7429" width="50.7109375" style="4" customWidth="1"/>
    <col min="7430" max="7430" width="1.42578125" style="4" customWidth="1"/>
    <col min="7431" max="7431" width="27.42578125" style="4" customWidth="1"/>
    <col min="7432" max="7432" width="29" style="4" customWidth="1"/>
    <col min="7433" max="7441" width="14.5703125" style="4" customWidth="1"/>
    <col min="7442" max="7442" width="12" style="4" customWidth="1"/>
    <col min="7443" max="7443" width="17.28515625" style="4" customWidth="1"/>
    <col min="7444" max="7444" width="11.42578125" style="4" customWidth="1"/>
    <col min="7445" max="7680" width="9.28515625" style="4"/>
    <col min="7681" max="7681" width="1.7109375" style="4" customWidth="1"/>
    <col min="7682" max="7682" width="19.7109375" style="4" customWidth="1"/>
    <col min="7683" max="7685" width="50.7109375" style="4" customWidth="1"/>
    <col min="7686" max="7686" width="1.42578125" style="4" customWidth="1"/>
    <col min="7687" max="7687" width="27.42578125" style="4" customWidth="1"/>
    <col min="7688" max="7688" width="29" style="4" customWidth="1"/>
    <col min="7689" max="7697" width="14.5703125" style="4" customWidth="1"/>
    <col min="7698" max="7698" width="12" style="4" customWidth="1"/>
    <col min="7699" max="7699" width="17.28515625" style="4" customWidth="1"/>
    <col min="7700" max="7700" width="11.42578125" style="4" customWidth="1"/>
    <col min="7701" max="7936" width="9.28515625" style="4"/>
    <col min="7937" max="7937" width="1.7109375" style="4" customWidth="1"/>
    <col min="7938" max="7938" width="19.7109375" style="4" customWidth="1"/>
    <col min="7939" max="7941" width="50.7109375" style="4" customWidth="1"/>
    <col min="7942" max="7942" width="1.42578125" style="4" customWidth="1"/>
    <col min="7943" max="7943" width="27.42578125" style="4" customWidth="1"/>
    <col min="7944" max="7944" width="29" style="4" customWidth="1"/>
    <col min="7945" max="7953" width="14.5703125" style="4" customWidth="1"/>
    <col min="7954" max="7954" width="12" style="4" customWidth="1"/>
    <col min="7955" max="7955" width="17.28515625" style="4" customWidth="1"/>
    <col min="7956" max="7956" width="11.42578125" style="4" customWidth="1"/>
    <col min="7957" max="8192" width="9.28515625" style="4"/>
    <col min="8193" max="8193" width="1.7109375" style="4" customWidth="1"/>
    <col min="8194" max="8194" width="19.7109375" style="4" customWidth="1"/>
    <col min="8195" max="8197" width="50.7109375" style="4" customWidth="1"/>
    <col min="8198" max="8198" width="1.42578125" style="4" customWidth="1"/>
    <col min="8199" max="8199" width="27.42578125" style="4" customWidth="1"/>
    <col min="8200" max="8200" width="29" style="4" customWidth="1"/>
    <col min="8201" max="8209" width="14.5703125" style="4" customWidth="1"/>
    <col min="8210" max="8210" width="12" style="4" customWidth="1"/>
    <col min="8211" max="8211" width="17.28515625" style="4" customWidth="1"/>
    <col min="8212" max="8212" width="11.42578125" style="4" customWidth="1"/>
    <col min="8213" max="8448" width="9.28515625" style="4"/>
    <col min="8449" max="8449" width="1.7109375" style="4" customWidth="1"/>
    <col min="8450" max="8450" width="19.7109375" style="4" customWidth="1"/>
    <col min="8451" max="8453" width="50.7109375" style="4" customWidth="1"/>
    <col min="8454" max="8454" width="1.42578125" style="4" customWidth="1"/>
    <col min="8455" max="8455" width="27.42578125" style="4" customWidth="1"/>
    <col min="8456" max="8456" width="29" style="4" customWidth="1"/>
    <col min="8457" max="8465" width="14.5703125" style="4" customWidth="1"/>
    <col min="8466" max="8466" width="12" style="4" customWidth="1"/>
    <col min="8467" max="8467" width="17.28515625" style="4" customWidth="1"/>
    <col min="8468" max="8468" width="11.42578125" style="4" customWidth="1"/>
    <col min="8469" max="8704" width="9.28515625" style="4"/>
    <col min="8705" max="8705" width="1.7109375" style="4" customWidth="1"/>
    <col min="8706" max="8706" width="19.7109375" style="4" customWidth="1"/>
    <col min="8707" max="8709" width="50.7109375" style="4" customWidth="1"/>
    <col min="8710" max="8710" width="1.42578125" style="4" customWidth="1"/>
    <col min="8711" max="8711" width="27.42578125" style="4" customWidth="1"/>
    <col min="8712" max="8712" width="29" style="4" customWidth="1"/>
    <col min="8713" max="8721" width="14.5703125" style="4" customWidth="1"/>
    <col min="8722" max="8722" width="12" style="4" customWidth="1"/>
    <col min="8723" max="8723" width="17.28515625" style="4" customWidth="1"/>
    <col min="8724" max="8724" width="11.42578125" style="4" customWidth="1"/>
    <col min="8725" max="8960" width="9.28515625" style="4"/>
    <col min="8961" max="8961" width="1.7109375" style="4" customWidth="1"/>
    <col min="8962" max="8962" width="19.7109375" style="4" customWidth="1"/>
    <col min="8963" max="8965" width="50.7109375" style="4" customWidth="1"/>
    <col min="8966" max="8966" width="1.42578125" style="4" customWidth="1"/>
    <col min="8967" max="8967" width="27.42578125" style="4" customWidth="1"/>
    <col min="8968" max="8968" width="29" style="4" customWidth="1"/>
    <col min="8969" max="8977" width="14.5703125" style="4" customWidth="1"/>
    <col min="8978" max="8978" width="12" style="4" customWidth="1"/>
    <col min="8979" max="8979" width="17.28515625" style="4" customWidth="1"/>
    <col min="8980" max="8980" width="11.42578125" style="4" customWidth="1"/>
    <col min="8981" max="9216" width="9.28515625" style="4"/>
    <col min="9217" max="9217" width="1.7109375" style="4" customWidth="1"/>
    <col min="9218" max="9218" width="19.7109375" style="4" customWidth="1"/>
    <col min="9219" max="9221" width="50.7109375" style="4" customWidth="1"/>
    <col min="9222" max="9222" width="1.42578125" style="4" customWidth="1"/>
    <col min="9223" max="9223" width="27.42578125" style="4" customWidth="1"/>
    <col min="9224" max="9224" width="29" style="4" customWidth="1"/>
    <col min="9225" max="9233" width="14.5703125" style="4" customWidth="1"/>
    <col min="9234" max="9234" width="12" style="4" customWidth="1"/>
    <col min="9235" max="9235" width="17.28515625" style="4" customWidth="1"/>
    <col min="9236" max="9236" width="11.42578125" style="4" customWidth="1"/>
    <col min="9237" max="9472" width="9.28515625" style="4"/>
    <col min="9473" max="9473" width="1.7109375" style="4" customWidth="1"/>
    <col min="9474" max="9474" width="19.7109375" style="4" customWidth="1"/>
    <col min="9475" max="9477" width="50.7109375" style="4" customWidth="1"/>
    <col min="9478" max="9478" width="1.42578125" style="4" customWidth="1"/>
    <col min="9479" max="9479" width="27.42578125" style="4" customWidth="1"/>
    <col min="9480" max="9480" width="29" style="4" customWidth="1"/>
    <col min="9481" max="9489" width="14.5703125" style="4" customWidth="1"/>
    <col min="9490" max="9490" width="12" style="4" customWidth="1"/>
    <col min="9491" max="9491" width="17.28515625" style="4" customWidth="1"/>
    <col min="9492" max="9492" width="11.42578125" style="4" customWidth="1"/>
    <col min="9493" max="9728" width="9.28515625" style="4"/>
    <col min="9729" max="9729" width="1.7109375" style="4" customWidth="1"/>
    <col min="9730" max="9730" width="19.7109375" style="4" customWidth="1"/>
    <col min="9731" max="9733" width="50.7109375" style="4" customWidth="1"/>
    <col min="9734" max="9734" width="1.42578125" style="4" customWidth="1"/>
    <col min="9735" max="9735" width="27.42578125" style="4" customWidth="1"/>
    <col min="9736" max="9736" width="29" style="4" customWidth="1"/>
    <col min="9737" max="9745" width="14.5703125" style="4" customWidth="1"/>
    <col min="9746" max="9746" width="12" style="4" customWidth="1"/>
    <col min="9747" max="9747" width="17.28515625" style="4" customWidth="1"/>
    <col min="9748" max="9748" width="11.42578125" style="4" customWidth="1"/>
    <col min="9749" max="9984" width="9.28515625" style="4"/>
    <col min="9985" max="9985" width="1.7109375" style="4" customWidth="1"/>
    <col min="9986" max="9986" width="19.7109375" style="4" customWidth="1"/>
    <col min="9987" max="9989" width="50.7109375" style="4" customWidth="1"/>
    <col min="9990" max="9990" width="1.42578125" style="4" customWidth="1"/>
    <col min="9991" max="9991" width="27.42578125" style="4" customWidth="1"/>
    <col min="9992" max="9992" width="29" style="4" customWidth="1"/>
    <col min="9993" max="10001" width="14.5703125" style="4" customWidth="1"/>
    <col min="10002" max="10002" width="12" style="4" customWidth="1"/>
    <col min="10003" max="10003" width="17.28515625" style="4" customWidth="1"/>
    <col min="10004" max="10004" width="11.42578125" style="4" customWidth="1"/>
    <col min="10005" max="10240" width="9.28515625" style="4"/>
    <col min="10241" max="10241" width="1.7109375" style="4" customWidth="1"/>
    <col min="10242" max="10242" width="19.7109375" style="4" customWidth="1"/>
    <col min="10243" max="10245" width="50.7109375" style="4" customWidth="1"/>
    <col min="10246" max="10246" width="1.42578125" style="4" customWidth="1"/>
    <col min="10247" max="10247" width="27.42578125" style="4" customWidth="1"/>
    <col min="10248" max="10248" width="29" style="4" customWidth="1"/>
    <col min="10249" max="10257" width="14.5703125" style="4" customWidth="1"/>
    <col min="10258" max="10258" width="12" style="4" customWidth="1"/>
    <col min="10259" max="10259" width="17.28515625" style="4" customWidth="1"/>
    <col min="10260" max="10260" width="11.42578125" style="4" customWidth="1"/>
    <col min="10261" max="10496" width="9.28515625" style="4"/>
    <col min="10497" max="10497" width="1.7109375" style="4" customWidth="1"/>
    <col min="10498" max="10498" width="19.7109375" style="4" customWidth="1"/>
    <col min="10499" max="10501" width="50.7109375" style="4" customWidth="1"/>
    <col min="10502" max="10502" width="1.42578125" style="4" customWidth="1"/>
    <col min="10503" max="10503" width="27.42578125" style="4" customWidth="1"/>
    <col min="10504" max="10504" width="29" style="4" customWidth="1"/>
    <col min="10505" max="10513" width="14.5703125" style="4" customWidth="1"/>
    <col min="10514" max="10514" width="12" style="4" customWidth="1"/>
    <col min="10515" max="10515" width="17.28515625" style="4" customWidth="1"/>
    <col min="10516" max="10516" width="11.42578125" style="4" customWidth="1"/>
    <col min="10517" max="10752" width="9.28515625" style="4"/>
    <col min="10753" max="10753" width="1.7109375" style="4" customWidth="1"/>
    <col min="10754" max="10754" width="19.7109375" style="4" customWidth="1"/>
    <col min="10755" max="10757" width="50.7109375" style="4" customWidth="1"/>
    <col min="10758" max="10758" width="1.42578125" style="4" customWidth="1"/>
    <col min="10759" max="10759" width="27.42578125" style="4" customWidth="1"/>
    <col min="10760" max="10760" width="29" style="4" customWidth="1"/>
    <col min="10761" max="10769" width="14.5703125" style="4" customWidth="1"/>
    <col min="10770" max="10770" width="12" style="4" customWidth="1"/>
    <col min="10771" max="10771" width="17.28515625" style="4" customWidth="1"/>
    <col min="10772" max="10772" width="11.42578125" style="4" customWidth="1"/>
    <col min="10773" max="11008" width="9.28515625" style="4"/>
    <col min="11009" max="11009" width="1.7109375" style="4" customWidth="1"/>
    <col min="11010" max="11010" width="19.7109375" style="4" customWidth="1"/>
    <col min="11011" max="11013" width="50.7109375" style="4" customWidth="1"/>
    <col min="11014" max="11014" width="1.42578125" style="4" customWidth="1"/>
    <col min="11015" max="11015" width="27.42578125" style="4" customWidth="1"/>
    <col min="11016" max="11016" width="29" style="4" customWidth="1"/>
    <col min="11017" max="11025" width="14.5703125" style="4" customWidth="1"/>
    <col min="11026" max="11026" width="12" style="4" customWidth="1"/>
    <col min="11027" max="11027" width="17.28515625" style="4" customWidth="1"/>
    <col min="11028" max="11028" width="11.42578125" style="4" customWidth="1"/>
    <col min="11029" max="11264" width="9.28515625" style="4"/>
    <col min="11265" max="11265" width="1.7109375" style="4" customWidth="1"/>
    <col min="11266" max="11266" width="19.7109375" style="4" customWidth="1"/>
    <col min="11267" max="11269" width="50.7109375" style="4" customWidth="1"/>
    <col min="11270" max="11270" width="1.42578125" style="4" customWidth="1"/>
    <col min="11271" max="11271" width="27.42578125" style="4" customWidth="1"/>
    <col min="11272" max="11272" width="29" style="4" customWidth="1"/>
    <col min="11273" max="11281" width="14.5703125" style="4" customWidth="1"/>
    <col min="11282" max="11282" width="12" style="4" customWidth="1"/>
    <col min="11283" max="11283" width="17.28515625" style="4" customWidth="1"/>
    <col min="11284" max="11284" width="11.42578125" style="4" customWidth="1"/>
    <col min="11285" max="11520" width="9.28515625" style="4"/>
    <col min="11521" max="11521" width="1.7109375" style="4" customWidth="1"/>
    <col min="11522" max="11522" width="19.7109375" style="4" customWidth="1"/>
    <col min="11523" max="11525" width="50.7109375" style="4" customWidth="1"/>
    <col min="11526" max="11526" width="1.42578125" style="4" customWidth="1"/>
    <col min="11527" max="11527" width="27.42578125" style="4" customWidth="1"/>
    <col min="11528" max="11528" width="29" style="4" customWidth="1"/>
    <col min="11529" max="11537" width="14.5703125" style="4" customWidth="1"/>
    <col min="11538" max="11538" width="12" style="4" customWidth="1"/>
    <col min="11539" max="11539" width="17.28515625" style="4" customWidth="1"/>
    <col min="11540" max="11540" width="11.42578125" style="4" customWidth="1"/>
    <col min="11541" max="11776" width="9.28515625" style="4"/>
    <col min="11777" max="11777" width="1.7109375" style="4" customWidth="1"/>
    <col min="11778" max="11778" width="19.7109375" style="4" customWidth="1"/>
    <col min="11779" max="11781" width="50.7109375" style="4" customWidth="1"/>
    <col min="11782" max="11782" width="1.42578125" style="4" customWidth="1"/>
    <col min="11783" max="11783" width="27.42578125" style="4" customWidth="1"/>
    <col min="11784" max="11784" width="29" style="4" customWidth="1"/>
    <col min="11785" max="11793" width="14.5703125" style="4" customWidth="1"/>
    <col min="11794" max="11794" width="12" style="4" customWidth="1"/>
    <col min="11795" max="11795" width="17.28515625" style="4" customWidth="1"/>
    <col min="11796" max="11796" width="11.42578125" style="4" customWidth="1"/>
    <col min="11797" max="12032" width="9.28515625" style="4"/>
    <col min="12033" max="12033" width="1.7109375" style="4" customWidth="1"/>
    <col min="12034" max="12034" width="19.7109375" style="4" customWidth="1"/>
    <col min="12035" max="12037" width="50.7109375" style="4" customWidth="1"/>
    <col min="12038" max="12038" width="1.42578125" style="4" customWidth="1"/>
    <col min="12039" max="12039" width="27.42578125" style="4" customWidth="1"/>
    <col min="12040" max="12040" width="29" style="4" customWidth="1"/>
    <col min="12041" max="12049" width="14.5703125" style="4" customWidth="1"/>
    <col min="12050" max="12050" width="12" style="4" customWidth="1"/>
    <col min="12051" max="12051" width="17.28515625" style="4" customWidth="1"/>
    <col min="12052" max="12052" width="11.42578125" style="4" customWidth="1"/>
    <col min="12053" max="12288" width="9.28515625" style="4"/>
    <col min="12289" max="12289" width="1.7109375" style="4" customWidth="1"/>
    <col min="12290" max="12290" width="19.7109375" style="4" customWidth="1"/>
    <col min="12291" max="12293" width="50.7109375" style="4" customWidth="1"/>
    <col min="12294" max="12294" width="1.42578125" style="4" customWidth="1"/>
    <col min="12295" max="12295" width="27.42578125" style="4" customWidth="1"/>
    <col min="12296" max="12296" width="29" style="4" customWidth="1"/>
    <col min="12297" max="12305" width="14.5703125" style="4" customWidth="1"/>
    <col min="12306" max="12306" width="12" style="4" customWidth="1"/>
    <col min="12307" max="12307" width="17.28515625" style="4" customWidth="1"/>
    <col min="12308" max="12308" width="11.42578125" style="4" customWidth="1"/>
    <col min="12309" max="12544" width="9.28515625" style="4"/>
    <col min="12545" max="12545" width="1.7109375" style="4" customWidth="1"/>
    <col min="12546" max="12546" width="19.7109375" style="4" customWidth="1"/>
    <col min="12547" max="12549" width="50.7109375" style="4" customWidth="1"/>
    <col min="12550" max="12550" width="1.42578125" style="4" customWidth="1"/>
    <col min="12551" max="12551" width="27.42578125" style="4" customWidth="1"/>
    <col min="12552" max="12552" width="29" style="4" customWidth="1"/>
    <col min="12553" max="12561" width="14.5703125" style="4" customWidth="1"/>
    <col min="12562" max="12562" width="12" style="4" customWidth="1"/>
    <col min="12563" max="12563" width="17.28515625" style="4" customWidth="1"/>
    <col min="12564" max="12564" width="11.42578125" style="4" customWidth="1"/>
    <col min="12565" max="12800" width="9.28515625" style="4"/>
    <col min="12801" max="12801" width="1.7109375" style="4" customWidth="1"/>
    <col min="12802" max="12802" width="19.7109375" style="4" customWidth="1"/>
    <col min="12803" max="12805" width="50.7109375" style="4" customWidth="1"/>
    <col min="12806" max="12806" width="1.42578125" style="4" customWidth="1"/>
    <col min="12807" max="12807" width="27.42578125" style="4" customWidth="1"/>
    <col min="12808" max="12808" width="29" style="4" customWidth="1"/>
    <col min="12809" max="12817" width="14.5703125" style="4" customWidth="1"/>
    <col min="12818" max="12818" width="12" style="4" customWidth="1"/>
    <col min="12819" max="12819" width="17.28515625" style="4" customWidth="1"/>
    <col min="12820" max="12820" width="11.42578125" style="4" customWidth="1"/>
    <col min="12821" max="13056" width="9.28515625" style="4"/>
    <col min="13057" max="13057" width="1.7109375" style="4" customWidth="1"/>
    <col min="13058" max="13058" width="19.7109375" style="4" customWidth="1"/>
    <col min="13059" max="13061" width="50.7109375" style="4" customWidth="1"/>
    <col min="13062" max="13062" width="1.42578125" style="4" customWidth="1"/>
    <col min="13063" max="13063" width="27.42578125" style="4" customWidth="1"/>
    <col min="13064" max="13064" width="29" style="4" customWidth="1"/>
    <col min="13065" max="13073" width="14.5703125" style="4" customWidth="1"/>
    <col min="13074" max="13074" width="12" style="4" customWidth="1"/>
    <col min="13075" max="13075" width="17.28515625" style="4" customWidth="1"/>
    <col min="13076" max="13076" width="11.42578125" style="4" customWidth="1"/>
    <col min="13077" max="13312" width="9.28515625" style="4"/>
    <col min="13313" max="13313" width="1.7109375" style="4" customWidth="1"/>
    <col min="13314" max="13314" width="19.7109375" style="4" customWidth="1"/>
    <col min="13315" max="13317" width="50.7109375" style="4" customWidth="1"/>
    <col min="13318" max="13318" width="1.42578125" style="4" customWidth="1"/>
    <col min="13319" max="13319" width="27.42578125" style="4" customWidth="1"/>
    <col min="13320" max="13320" width="29" style="4" customWidth="1"/>
    <col min="13321" max="13329" width="14.5703125" style="4" customWidth="1"/>
    <col min="13330" max="13330" width="12" style="4" customWidth="1"/>
    <col min="13331" max="13331" width="17.28515625" style="4" customWidth="1"/>
    <col min="13332" max="13332" width="11.42578125" style="4" customWidth="1"/>
    <col min="13333" max="13568" width="9.28515625" style="4"/>
    <col min="13569" max="13569" width="1.7109375" style="4" customWidth="1"/>
    <col min="13570" max="13570" width="19.7109375" style="4" customWidth="1"/>
    <col min="13571" max="13573" width="50.7109375" style="4" customWidth="1"/>
    <col min="13574" max="13574" width="1.42578125" style="4" customWidth="1"/>
    <col min="13575" max="13575" width="27.42578125" style="4" customWidth="1"/>
    <col min="13576" max="13576" width="29" style="4" customWidth="1"/>
    <col min="13577" max="13585" width="14.5703125" style="4" customWidth="1"/>
    <col min="13586" max="13586" width="12" style="4" customWidth="1"/>
    <col min="13587" max="13587" width="17.28515625" style="4" customWidth="1"/>
    <col min="13588" max="13588" width="11.42578125" style="4" customWidth="1"/>
    <col min="13589" max="13824" width="9.28515625" style="4"/>
    <col min="13825" max="13825" width="1.7109375" style="4" customWidth="1"/>
    <col min="13826" max="13826" width="19.7109375" style="4" customWidth="1"/>
    <col min="13827" max="13829" width="50.7109375" style="4" customWidth="1"/>
    <col min="13830" max="13830" width="1.42578125" style="4" customWidth="1"/>
    <col min="13831" max="13831" width="27.42578125" style="4" customWidth="1"/>
    <col min="13832" max="13832" width="29" style="4" customWidth="1"/>
    <col min="13833" max="13841" width="14.5703125" style="4" customWidth="1"/>
    <col min="13842" max="13842" width="12" style="4" customWidth="1"/>
    <col min="13843" max="13843" width="17.28515625" style="4" customWidth="1"/>
    <col min="13844" max="13844" width="11.42578125" style="4" customWidth="1"/>
    <col min="13845" max="14080" width="9.28515625" style="4"/>
    <col min="14081" max="14081" width="1.7109375" style="4" customWidth="1"/>
    <col min="14082" max="14082" width="19.7109375" style="4" customWidth="1"/>
    <col min="14083" max="14085" width="50.7109375" style="4" customWidth="1"/>
    <col min="14086" max="14086" width="1.42578125" style="4" customWidth="1"/>
    <col min="14087" max="14087" width="27.42578125" style="4" customWidth="1"/>
    <col min="14088" max="14088" width="29" style="4" customWidth="1"/>
    <col min="14089" max="14097" width="14.5703125" style="4" customWidth="1"/>
    <col min="14098" max="14098" width="12" style="4" customWidth="1"/>
    <col min="14099" max="14099" width="17.28515625" style="4" customWidth="1"/>
    <col min="14100" max="14100" width="11.42578125" style="4" customWidth="1"/>
    <col min="14101" max="14336" width="9.28515625" style="4"/>
    <col min="14337" max="14337" width="1.7109375" style="4" customWidth="1"/>
    <col min="14338" max="14338" width="19.7109375" style="4" customWidth="1"/>
    <col min="14339" max="14341" width="50.7109375" style="4" customWidth="1"/>
    <col min="14342" max="14342" width="1.42578125" style="4" customWidth="1"/>
    <col min="14343" max="14343" width="27.42578125" style="4" customWidth="1"/>
    <col min="14344" max="14344" width="29" style="4" customWidth="1"/>
    <col min="14345" max="14353" width="14.5703125" style="4" customWidth="1"/>
    <col min="14354" max="14354" width="12" style="4" customWidth="1"/>
    <col min="14355" max="14355" width="17.28515625" style="4" customWidth="1"/>
    <col min="14356" max="14356" width="11.42578125" style="4" customWidth="1"/>
    <col min="14357" max="14592" width="9.28515625" style="4"/>
    <col min="14593" max="14593" width="1.7109375" style="4" customWidth="1"/>
    <col min="14594" max="14594" width="19.7109375" style="4" customWidth="1"/>
    <col min="14595" max="14597" width="50.7109375" style="4" customWidth="1"/>
    <col min="14598" max="14598" width="1.42578125" style="4" customWidth="1"/>
    <col min="14599" max="14599" width="27.42578125" style="4" customWidth="1"/>
    <col min="14600" max="14600" width="29" style="4" customWidth="1"/>
    <col min="14601" max="14609" width="14.5703125" style="4" customWidth="1"/>
    <col min="14610" max="14610" width="12" style="4" customWidth="1"/>
    <col min="14611" max="14611" width="17.28515625" style="4" customWidth="1"/>
    <col min="14612" max="14612" width="11.42578125" style="4" customWidth="1"/>
    <col min="14613" max="14848" width="9.28515625" style="4"/>
    <col min="14849" max="14849" width="1.7109375" style="4" customWidth="1"/>
    <col min="14850" max="14850" width="19.7109375" style="4" customWidth="1"/>
    <col min="14851" max="14853" width="50.7109375" style="4" customWidth="1"/>
    <col min="14854" max="14854" width="1.42578125" style="4" customWidth="1"/>
    <col min="14855" max="14855" width="27.42578125" style="4" customWidth="1"/>
    <col min="14856" max="14856" width="29" style="4" customWidth="1"/>
    <col min="14857" max="14865" width="14.5703125" style="4" customWidth="1"/>
    <col min="14866" max="14866" width="12" style="4" customWidth="1"/>
    <col min="14867" max="14867" width="17.28515625" style="4" customWidth="1"/>
    <col min="14868" max="14868" width="11.42578125" style="4" customWidth="1"/>
    <col min="14869" max="15104" width="9.28515625" style="4"/>
    <col min="15105" max="15105" width="1.7109375" style="4" customWidth="1"/>
    <col min="15106" max="15106" width="19.7109375" style="4" customWidth="1"/>
    <col min="15107" max="15109" width="50.7109375" style="4" customWidth="1"/>
    <col min="15110" max="15110" width="1.42578125" style="4" customWidth="1"/>
    <col min="15111" max="15111" width="27.42578125" style="4" customWidth="1"/>
    <col min="15112" max="15112" width="29" style="4" customWidth="1"/>
    <col min="15113" max="15121" width="14.5703125" style="4" customWidth="1"/>
    <col min="15122" max="15122" width="12" style="4" customWidth="1"/>
    <col min="15123" max="15123" width="17.28515625" style="4" customWidth="1"/>
    <col min="15124" max="15124" width="11.42578125" style="4" customWidth="1"/>
    <col min="15125" max="15360" width="9.28515625" style="4"/>
    <col min="15361" max="15361" width="1.7109375" style="4" customWidth="1"/>
    <col min="15362" max="15362" width="19.7109375" style="4" customWidth="1"/>
    <col min="15363" max="15365" width="50.7109375" style="4" customWidth="1"/>
    <col min="15366" max="15366" width="1.42578125" style="4" customWidth="1"/>
    <col min="15367" max="15367" width="27.42578125" style="4" customWidth="1"/>
    <col min="15368" max="15368" width="29" style="4" customWidth="1"/>
    <col min="15369" max="15377" width="14.5703125" style="4" customWidth="1"/>
    <col min="15378" max="15378" width="12" style="4" customWidth="1"/>
    <col min="15379" max="15379" width="17.28515625" style="4" customWidth="1"/>
    <col min="15380" max="15380" width="11.42578125" style="4" customWidth="1"/>
    <col min="15381" max="15616" width="9.28515625" style="4"/>
    <col min="15617" max="15617" width="1.7109375" style="4" customWidth="1"/>
    <col min="15618" max="15618" width="19.7109375" style="4" customWidth="1"/>
    <col min="15619" max="15621" width="50.7109375" style="4" customWidth="1"/>
    <col min="15622" max="15622" width="1.42578125" style="4" customWidth="1"/>
    <col min="15623" max="15623" width="27.42578125" style="4" customWidth="1"/>
    <col min="15624" max="15624" width="29" style="4" customWidth="1"/>
    <col min="15625" max="15633" width="14.5703125" style="4" customWidth="1"/>
    <col min="15634" max="15634" width="12" style="4" customWidth="1"/>
    <col min="15635" max="15635" width="17.28515625" style="4" customWidth="1"/>
    <col min="15636" max="15636" width="11.42578125" style="4" customWidth="1"/>
    <col min="15637" max="15872" width="9.28515625" style="4"/>
    <col min="15873" max="15873" width="1.7109375" style="4" customWidth="1"/>
    <col min="15874" max="15874" width="19.7109375" style="4" customWidth="1"/>
    <col min="15875" max="15877" width="50.7109375" style="4" customWidth="1"/>
    <col min="15878" max="15878" width="1.42578125" style="4" customWidth="1"/>
    <col min="15879" max="15879" width="27.42578125" style="4" customWidth="1"/>
    <col min="15880" max="15880" width="29" style="4" customWidth="1"/>
    <col min="15881" max="15889" width="14.5703125" style="4" customWidth="1"/>
    <col min="15890" max="15890" width="12" style="4" customWidth="1"/>
    <col min="15891" max="15891" width="17.28515625" style="4" customWidth="1"/>
    <col min="15892" max="15892" width="11.42578125" style="4" customWidth="1"/>
    <col min="15893" max="16128" width="9.28515625" style="4"/>
    <col min="16129" max="16129" width="1.7109375" style="4" customWidth="1"/>
    <col min="16130" max="16130" width="19.7109375" style="4" customWidth="1"/>
    <col min="16131" max="16133" width="50.7109375" style="4" customWidth="1"/>
    <col min="16134" max="16134" width="1.42578125" style="4" customWidth="1"/>
    <col min="16135" max="16135" width="27.42578125" style="4" customWidth="1"/>
    <col min="16136" max="16136" width="29" style="4" customWidth="1"/>
    <col min="16137" max="16145" width="14.5703125" style="4" customWidth="1"/>
    <col min="16146" max="16146" width="12" style="4" customWidth="1"/>
    <col min="16147" max="16147" width="17.28515625" style="4" customWidth="1"/>
    <col min="16148" max="16148" width="11.42578125" style="4" customWidth="1"/>
    <col min="16149" max="16384" width="9.28515625" style="4"/>
  </cols>
  <sheetData>
    <row r="1" spans="1:21" ht="8.25" customHeight="1" x14ac:dyDescent="0.25">
      <c r="A1" s="1"/>
      <c r="B1" s="19"/>
      <c r="C1" s="22"/>
      <c r="D1" s="22"/>
      <c r="E1" s="22"/>
      <c r="F1" s="22"/>
      <c r="G1" s="22"/>
      <c r="H1" s="1"/>
      <c r="I1" s="1"/>
      <c r="J1" s="1"/>
      <c r="K1" s="1"/>
      <c r="L1" s="3"/>
      <c r="M1" s="3"/>
      <c r="N1" s="3"/>
      <c r="O1" s="3"/>
      <c r="P1" s="3"/>
      <c r="Q1" s="3"/>
      <c r="R1" s="3"/>
      <c r="S1" s="3"/>
      <c r="T1" s="3"/>
      <c r="U1" s="3"/>
    </row>
    <row r="2" spans="1:21" ht="60.4" customHeight="1" x14ac:dyDescent="0.25">
      <c r="A2" s="1"/>
      <c r="B2" s="26" t="s">
        <v>17</v>
      </c>
      <c r="C2" s="85" t="s">
        <v>216</v>
      </c>
      <c r="D2" s="86"/>
      <c r="E2" s="86"/>
      <c r="F2" s="86"/>
      <c r="G2" s="52"/>
      <c r="H2" s="5"/>
      <c r="I2" s="5"/>
      <c r="J2" s="5"/>
      <c r="K2" s="5"/>
      <c r="L2" s="6"/>
      <c r="M2" s="6"/>
      <c r="N2" s="6"/>
      <c r="O2" s="6"/>
      <c r="P2" s="6"/>
      <c r="Q2" s="6"/>
      <c r="R2" s="6"/>
      <c r="S2" s="6"/>
      <c r="T2" s="6"/>
      <c r="U2" s="3"/>
    </row>
    <row r="3" spans="1:21" ht="15" customHeight="1" x14ac:dyDescent="0.25">
      <c r="A3" s="1"/>
      <c r="B3" s="23"/>
      <c r="C3" s="23"/>
      <c r="D3" s="30"/>
      <c r="E3" s="30"/>
      <c r="F3" s="30"/>
      <c r="G3" s="30"/>
      <c r="H3" s="7"/>
      <c r="I3" s="7"/>
      <c r="J3" s="7"/>
      <c r="K3" s="7"/>
      <c r="L3" s="8"/>
      <c r="M3" s="8"/>
      <c r="N3" s="8"/>
      <c r="O3" s="8"/>
      <c r="P3" s="8"/>
      <c r="Q3" s="8"/>
      <c r="R3" s="3"/>
      <c r="S3" s="3"/>
      <c r="T3" s="3"/>
      <c r="U3" s="3"/>
    </row>
    <row r="4" spans="1:21" ht="15.75" customHeight="1" x14ac:dyDescent="0.25">
      <c r="A4" s="1"/>
      <c r="B4" s="26" t="s">
        <v>0</v>
      </c>
      <c r="C4" s="27" t="str">
        <f>'Aval Soft Skills'!C4</f>
        <v>Carla Leal Santos</v>
      </c>
      <c r="D4" s="88" t="s">
        <v>217</v>
      </c>
      <c r="E4" s="89"/>
      <c r="F4" s="89"/>
      <c r="G4" s="89"/>
      <c r="H4" s="9"/>
      <c r="I4" s="9"/>
      <c r="J4" s="9"/>
      <c r="K4" s="9"/>
      <c r="L4" s="10"/>
      <c r="M4" s="10"/>
      <c r="N4" s="10"/>
      <c r="O4" s="10"/>
      <c r="P4" s="10"/>
      <c r="Q4" s="10"/>
      <c r="R4" s="3"/>
      <c r="S4" s="3"/>
      <c r="T4" s="3"/>
      <c r="U4" s="3"/>
    </row>
    <row r="5" spans="1:21" ht="15.75" customHeight="1" x14ac:dyDescent="0.25">
      <c r="A5" s="1"/>
      <c r="B5" s="26" t="s">
        <v>1</v>
      </c>
      <c r="C5" s="28" t="str">
        <f>'Aval Soft Skills'!C5</f>
        <v>Elétrica</v>
      </c>
      <c r="D5" s="88"/>
      <c r="E5" s="89"/>
      <c r="F5" s="89"/>
      <c r="G5" s="89"/>
      <c r="H5" s="1"/>
      <c r="I5" s="1"/>
      <c r="J5" s="1"/>
      <c r="K5" s="1"/>
      <c r="L5" s="3"/>
      <c r="M5" s="3"/>
      <c r="N5" s="3"/>
      <c r="O5" s="3"/>
      <c r="P5" s="3"/>
      <c r="Q5" s="3"/>
      <c r="R5" s="3"/>
      <c r="S5" s="3"/>
      <c r="T5" s="3"/>
      <c r="U5" s="3"/>
    </row>
    <row r="6" spans="1:21" ht="15.75" customHeight="1" x14ac:dyDescent="0.25">
      <c r="A6" s="1"/>
      <c r="B6" s="26" t="s">
        <v>18</v>
      </c>
      <c r="C6" s="28" t="str">
        <f>'Aval Soft Skills'!C6</f>
        <v>Líder Técnico Área Elétrica ou Controle/Automação</v>
      </c>
      <c r="D6" s="88"/>
      <c r="E6" s="89"/>
      <c r="F6" s="89"/>
      <c r="G6" s="89"/>
      <c r="H6" s="1"/>
      <c r="I6" s="9"/>
      <c r="J6" s="9"/>
      <c r="K6" s="1"/>
      <c r="L6" s="3"/>
      <c r="M6" s="3"/>
      <c r="N6" s="3"/>
      <c r="O6" s="3"/>
      <c r="P6" s="10"/>
      <c r="Q6" s="10"/>
      <c r="R6" s="10"/>
      <c r="S6" s="10"/>
      <c r="T6" s="10"/>
      <c r="U6" s="3"/>
    </row>
    <row r="7" spans="1:21" ht="15.75" customHeight="1" x14ac:dyDescent="0.25">
      <c r="A7" s="1"/>
      <c r="B7" s="26" t="s">
        <v>2</v>
      </c>
      <c r="C7" s="28" t="str">
        <f>'Aval Soft Skills'!C7</f>
        <v>Luiz Sérgio</v>
      </c>
      <c r="D7" s="88"/>
      <c r="E7" s="89"/>
      <c r="F7" s="89"/>
      <c r="G7" s="89"/>
      <c r="H7" s="1"/>
      <c r="I7" s="1"/>
      <c r="J7" s="1"/>
      <c r="K7" s="1"/>
      <c r="L7" s="3"/>
      <c r="M7" s="3"/>
      <c r="N7" s="3"/>
      <c r="O7" s="3"/>
      <c r="P7" s="3"/>
      <c r="Q7" s="3"/>
      <c r="R7" s="3"/>
      <c r="S7" s="3"/>
      <c r="T7" s="3"/>
      <c r="U7" s="3"/>
    </row>
    <row r="8" spans="1:21" ht="15.75" customHeight="1" x14ac:dyDescent="0.25">
      <c r="A8" s="1"/>
      <c r="B8" s="26" t="s">
        <v>26</v>
      </c>
      <c r="C8" s="29" t="str">
        <f>'Aval Soft Skills'!C8</f>
        <v>___ / ___ /2024</v>
      </c>
      <c r="D8" s="88"/>
      <c r="E8" s="89"/>
      <c r="F8" s="89"/>
      <c r="G8" s="89"/>
      <c r="H8" s="9"/>
      <c r="I8" s="9"/>
      <c r="J8" s="9"/>
      <c r="K8" s="1"/>
      <c r="L8" s="3"/>
      <c r="M8" s="3"/>
      <c r="N8" s="3"/>
      <c r="O8" s="3"/>
      <c r="P8" s="10"/>
      <c r="Q8" s="3"/>
      <c r="R8" s="3"/>
      <c r="S8" s="3"/>
      <c r="T8" s="3"/>
      <c r="U8" s="3"/>
    </row>
    <row r="9" spans="1:21" ht="19.899999999999999" customHeight="1" x14ac:dyDescent="0.25">
      <c r="A9" s="1"/>
      <c r="B9" s="26"/>
      <c r="C9" s="26"/>
      <c r="D9" s="87" t="s">
        <v>24</v>
      </c>
      <c r="E9" s="87"/>
      <c r="F9" s="87"/>
      <c r="G9" s="31"/>
      <c r="H9" s="9"/>
      <c r="I9" s="9"/>
      <c r="J9" s="9"/>
      <c r="K9" s="1"/>
      <c r="L9" s="3"/>
      <c r="M9" s="3"/>
      <c r="N9" s="3"/>
      <c r="O9" s="3"/>
      <c r="P9" s="10"/>
      <c r="Q9" s="3"/>
      <c r="R9" s="3"/>
      <c r="S9" s="3"/>
      <c r="T9" s="3"/>
      <c r="U9" s="3"/>
    </row>
    <row r="10" spans="1:21" ht="31.15" customHeight="1" x14ac:dyDescent="0.25">
      <c r="A10" s="11"/>
      <c r="B10" s="32"/>
      <c r="C10" s="33" t="s">
        <v>20</v>
      </c>
      <c r="D10" s="33" t="s">
        <v>21</v>
      </c>
      <c r="E10" s="33" t="s">
        <v>22</v>
      </c>
      <c r="F10" s="33" t="s">
        <v>23</v>
      </c>
      <c r="G10" s="33" t="s">
        <v>25</v>
      </c>
      <c r="H10" s="12"/>
      <c r="I10" s="12"/>
      <c r="J10" s="12"/>
      <c r="K10" s="12"/>
      <c r="L10" s="13"/>
      <c r="M10" s="13"/>
      <c r="N10" s="13"/>
      <c r="O10" s="13"/>
      <c r="P10" s="13"/>
      <c r="Q10" s="13"/>
      <c r="S10" s="14"/>
      <c r="T10" s="14"/>
      <c r="U10" s="15"/>
    </row>
    <row r="11" spans="1:21" ht="40.15" customHeight="1" x14ac:dyDescent="0.25">
      <c r="A11" s="11"/>
      <c r="B11" s="34"/>
      <c r="C11" s="70" t="str">
        <f>IF($C$5="Civil",VLOOKUP('Aval Hard Skills'!$C$5,'Hard Skills'!A1:U11,2,0),(IF($C$5="Elétrica",VLOOKUP('Aval Hard Skills'!$C$5,'Hard Skills'!A12:U26,2,0),(IF($C$5="Eletromecânica",VLOOKUP('Aval Hard Skills'!$C$5,'Hard Skills'!A27:U40,2,0),(IF($C$5="Ger_Contratos",VLOOKUP('Aval Hard Skills'!$C$5,'Hard Skills'!A41:U43,2,0),(IF($C$5="Adm_Financeiro",VLOOKUP('Aval Hard Skills'!C5,'Hard Skills'!A44:U51,2,))))))))))</f>
        <v>Capacidade de analizar e identificar criterios, padrões e documentos de referencia.</v>
      </c>
      <c r="D11" s="42">
        <f>VLOOKUP(C6,'Hard Skills'!A1:U51,2,0)</f>
        <v>4</v>
      </c>
      <c r="E11" s="43"/>
      <c r="F11" s="42"/>
      <c r="G11" s="36"/>
      <c r="H11" s="12"/>
      <c r="I11" s="12"/>
      <c r="J11" s="12"/>
      <c r="K11" s="12"/>
      <c r="L11" s="13"/>
      <c r="M11" s="13"/>
      <c r="N11" s="13"/>
      <c r="O11" s="13"/>
      <c r="P11" s="13"/>
      <c r="Q11" s="13"/>
      <c r="S11" s="14"/>
      <c r="T11" s="14"/>
      <c r="U11" s="15"/>
    </row>
    <row r="12" spans="1:21" ht="40.15" customHeight="1" x14ac:dyDescent="0.25">
      <c r="A12" s="11"/>
      <c r="B12" s="34"/>
      <c r="C12" s="70" t="str">
        <f>IF($C$5="Civil",VLOOKUP('Aval Hard Skills'!$C$5,'Hard Skills'!A1:U11,3,0),(IF($C$5="Elétrica",VLOOKUP('Aval Hard Skills'!$C$5,'Hard Skills'!A12:U26,3,0),(IF($C$5="Eletromecânica",VLOOKUP('Aval Hard Skills'!$C$5,'Hard Skills'!A27:U40,3,0),(IF($C$5="Ger_Contratos",VLOOKUP('Aval Hard Skills'!$C$5,'Hard Skills'!A41:U43,3,0),(IF($C$5="Adm_Financeiro",VLOOKUP('Aval Hard Skills'!C5,'Hard Skills'!A44:U51,3,))))))))))</f>
        <v>Conhecimento dos principios dos sistemas de proteção, controle e supervisão de subestações</v>
      </c>
      <c r="D12" s="42">
        <f>VLOOKUP(C6,'Hard Skills'!A1:U51,3,0)</f>
        <v>4</v>
      </c>
      <c r="E12" s="43"/>
      <c r="F12" s="42"/>
      <c r="G12" s="36"/>
      <c r="H12" s="12"/>
      <c r="I12" s="12"/>
      <c r="J12" s="12"/>
      <c r="K12" s="12"/>
      <c r="L12" s="13"/>
      <c r="M12" s="13"/>
      <c r="N12" s="13"/>
      <c r="O12" s="13"/>
      <c r="P12" s="13"/>
      <c r="Q12" s="13"/>
      <c r="S12" s="14"/>
      <c r="T12" s="14"/>
      <c r="U12" s="15"/>
    </row>
    <row r="13" spans="1:21" ht="40.15" customHeight="1" x14ac:dyDescent="0.25">
      <c r="A13" s="11"/>
      <c r="B13" s="34"/>
      <c r="C13" s="70" t="str">
        <f>IF($C$5="Civil",VLOOKUP('Aval Hard Skills'!$C$5,'Hard Skills'!A1:U11,4,0),(IF($C$5="Elétrica",VLOOKUP('Aval Hard Skills'!$C$5,'Hard Skills'!A12:U26,4,0),(IF($C$5="Eletromecânica",VLOOKUP('Aval Hard Skills'!$C$5,'Hard Skills'!A27:U40,4,0),(IF($C$5="Ger_Contratos",VLOOKUP('Aval Hard Skills'!$C$5,'Hard Skills'!A41:U43,4,0),(IF($C$5="Adm_Financeiro",VLOOKUP('Aval Hard Skills'!C5,'Hard Skills'!A44:U51,4,))))))))))</f>
        <v>Capacidade de desenvolver projetos de MPCCSR (Funcional,logico,Fiação e interligação</v>
      </c>
      <c r="D13" s="42">
        <f>VLOOKUP(C6,'Hard Skills'!A1:U51,4,0)</f>
        <v>4</v>
      </c>
      <c r="E13" s="43"/>
      <c r="F13" s="42"/>
      <c r="G13" s="36"/>
      <c r="H13" s="12"/>
      <c r="I13" s="12"/>
      <c r="J13" s="12"/>
      <c r="K13" s="12"/>
      <c r="L13" s="13"/>
      <c r="M13" s="13"/>
      <c r="N13" s="13"/>
      <c r="O13" s="13"/>
      <c r="P13" s="13"/>
      <c r="Q13" s="13"/>
      <c r="S13" s="14"/>
      <c r="T13" s="14"/>
      <c r="U13" s="15"/>
    </row>
    <row r="14" spans="1:21" ht="40.15" customHeight="1" x14ac:dyDescent="0.25">
      <c r="A14" s="11"/>
      <c r="B14" s="34"/>
      <c r="C14" s="70" t="str">
        <f>IF($C$5="Civil",VLOOKUP('Aval Hard Skills'!$C$5,'Hard Skills'!A1:U11,5,0),(IF($C$5="Elétrica",VLOOKUP('Aval Hard Skills'!$C$5,'Hard Skills'!A12:U26,5,0),(IF($C$5="Eletromecânica",VLOOKUP('Aval Hard Skills'!$C$5,'Hard Skills'!A27:U40,5,0),(IF($C$5="Ger_Contratos",VLOOKUP('Aval Hard Skills'!$C$5,'Hard Skills'!A41:U43,5,0),(IF($C$5="Adm_Financeiro",VLOOKUP('Aval Hard Skills'!C5,'Hard Skills'!A44:U51,5,))))))))))</f>
        <v>Dominio na execução de projetos utilizando o cadgraph</v>
      </c>
      <c r="D14" s="42">
        <f>VLOOKUP(C6,'Hard Skills'!A1:U51,5,0)</f>
        <v>4</v>
      </c>
      <c r="E14" s="43"/>
      <c r="F14" s="42"/>
      <c r="G14" s="36"/>
      <c r="H14" s="12"/>
      <c r="I14" s="12"/>
      <c r="J14" s="12"/>
      <c r="K14" s="12"/>
      <c r="L14" s="13"/>
      <c r="M14" s="13"/>
      <c r="N14" s="13"/>
      <c r="O14" s="13"/>
      <c r="P14" s="13"/>
      <c r="Q14" s="13"/>
      <c r="S14" s="14"/>
      <c r="T14" s="14"/>
      <c r="U14" s="15"/>
    </row>
    <row r="15" spans="1:21" ht="40.15" customHeight="1" x14ac:dyDescent="0.25">
      <c r="A15" s="11"/>
      <c r="B15" s="34"/>
      <c r="C15" s="70" t="str">
        <f>IF($C$5="Civil",VLOOKUP('Aval Hard Skills'!$C$5,'Hard Skills'!A1:U11,6,0),(IF($C$5="Elétrica",VLOOKUP('Aval Hard Skills'!$C$5,'Hard Skills'!A12:U26,6,0),(IF($C$5="Eletromecânica",VLOOKUP('Aval Hard Skills'!$C$5,'Hard Skills'!A27:U40,6,0),(IF($C$5="Ger_Contratos",VLOOKUP('Aval Hard Skills'!$C$5,'Hard Skills'!A41:U43,6,0),(IF($C$5="Adm_Financeiro",VLOOKUP('Aval Hard Skills'!C5,'Hard Skills'!A44:U51,6,))))))))))</f>
        <v>Capacidade para desenvolver arquitetura do sistema digital</v>
      </c>
      <c r="D15" s="42">
        <f>VLOOKUP(C6,'Hard Skills'!A1:U51,6,0)</f>
        <v>4</v>
      </c>
      <c r="E15" s="43"/>
      <c r="F15" s="42"/>
      <c r="G15" s="36"/>
      <c r="H15" s="12"/>
      <c r="I15" s="12"/>
      <c r="J15" s="12"/>
      <c r="K15" s="12"/>
      <c r="L15" s="13"/>
      <c r="M15" s="13"/>
      <c r="N15" s="13"/>
      <c r="O15" s="13"/>
      <c r="P15" s="13"/>
      <c r="Q15" s="13"/>
      <c r="S15" s="14"/>
      <c r="T15" s="14"/>
      <c r="U15" s="15"/>
    </row>
    <row r="16" spans="1:21" ht="40.15" customHeight="1" x14ac:dyDescent="0.25">
      <c r="A16" s="11"/>
      <c r="B16" s="34"/>
      <c r="C16" s="70" t="str">
        <f>IF($C$5="Civil",VLOOKUP('Aval Hard Skills'!$C$5,'Hard Skills'!A1:U11,7,0),(IF($C$5="Elétrica",VLOOKUP('Aval Hard Skills'!$C$5,'Hard Skills'!A12:U26,7,0),(IF($C$5="Eletromecânica",VLOOKUP('Aval Hard Skills'!$C$5,'Hard Skills'!A27:U40,7,0),(IF($C$5="Ger_Contratos",VLOOKUP('Aval Hard Skills'!$C$5,'Hard Skills'!A41:U43,7,0),(IF($C$5="Adm_Financeiro",VLOOKUP('Aval Hard Skills'!C5,'Hard Skills'!A44:U51,7,))))))))))</f>
        <v>Capacidade  de elaboração de lista de pontos</v>
      </c>
      <c r="D16" s="42">
        <f>VLOOKUP(C6,'Hard Skills'!A1:U51,7,0)</f>
        <v>4</v>
      </c>
      <c r="E16" s="43"/>
      <c r="F16" s="42"/>
      <c r="G16" s="36"/>
      <c r="H16" s="12"/>
      <c r="I16" s="12"/>
      <c r="J16" s="12"/>
      <c r="K16" s="12"/>
      <c r="L16" s="13"/>
      <c r="M16" s="13"/>
      <c r="N16" s="13"/>
      <c r="O16" s="13"/>
      <c r="P16" s="13"/>
      <c r="Q16" s="13"/>
      <c r="S16" s="14"/>
      <c r="T16" s="14"/>
      <c r="U16" s="15"/>
    </row>
    <row r="17" spans="1:21" ht="40.15" customHeight="1" x14ac:dyDescent="0.25">
      <c r="A17" s="11"/>
      <c r="B17" s="34"/>
      <c r="C17" s="70" t="str">
        <f>IF($C$5="Civil",VLOOKUP('Aval Hard Skills'!$C$5,'Hard Skills'!A1:U11,8,0),(IF($C$5="Elétrica",VLOOKUP('Aval Hard Skills'!$C$5,'Hard Skills'!A12:U26,8,0),(IF($C$5="Eletromecânica",VLOOKUP('Aval Hard Skills'!$C$5,'Hard Skills'!A27:U40,8,0),(IF($C$5="Ger_Contratos",VLOOKUP('Aval Hard Skills'!$C$5,'Hard Skills'!A41:U43,8,0),(IF($C$5="Adm_Financeiro",VLOOKUP('Aval Hard Skills'!C5,'Hard Skills'!A44:U51,8,))))))))))</f>
        <v>Dominio no desenvolvimento de base de dados e telas no SAGE</v>
      </c>
      <c r="D17" s="42">
        <f>VLOOKUP(C6,'Hard Skills'!A1:U51,8,0)</f>
        <v>4</v>
      </c>
      <c r="E17" s="43"/>
      <c r="F17" s="42"/>
      <c r="G17" s="36"/>
      <c r="H17" s="12"/>
      <c r="I17" s="12"/>
      <c r="J17" s="12"/>
      <c r="K17" s="12"/>
      <c r="L17" s="13"/>
      <c r="M17" s="13"/>
      <c r="N17" s="13"/>
      <c r="O17" s="13"/>
      <c r="P17" s="13"/>
      <c r="Q17" s="13"/>
      <c r="S17" s="14"/>
      <c r="T17" s="14"/>
      <c r="U17" s="15"/>
    </row>
    <row r="18" spans="1:21" ht="40.15" customHeight="1" x14ac:dyDescent="0.25">
      <c r="A18" s="11"/>
      <c r="B18" s="34"/>
      <c r="C18" s="70" t="str">
        <f>IF($C$5="Civil",VLOOKUP('Aval Hard Skills'!$C$5,'Hard Skills'!A1:U11,9,0),(IF($C$5="Elétrica",VLOOKUP('Aval Hard Skills'!$C$5,'Hard Skills'!A12:U26,9,0),(IF($C$5="Eletromecânica",VLOOKUP('Aval Hard Skills'!$C$5,'Hard Skills'!A27:U40,9,0),(IF($C$5="Ger_Contratos",VLOOKUP('Aval Hard Skills'!$C$5,'Hard Skills'!A41:U43,9,0),(IF($C$5="Adm_Financeiro",VLOOKUP('Aval Hard Skills'!C5,'Hard Skills'!A44:U51,9,))))))))))</f>
        <v xml:space="preserve">Dominio dos procedimentos de testes de nível 1 (TAF, TAC) </v>
      </c>
      <c r="D18" s="42">
        <f>VLOOKUP(C6,'Hard Skills'!A1:U51,9,0)</f>
        <v>4</v>
      </c>
      <c r="E18" s="43"/>
      <c r="F18" s="42"/>
      <c r="G18" s="36"/>
      <c r="H18" s="12"/>
      <c r="I18" s="12"/>
      <c r="J18" s="12"/>
      <c r="K18" s="12"/>
      <c r="L18" s="13"/>
      <c r="M18" s="13"/>
      <c r="N18" s="13"/>
      <c r="O18" s="13"/>
      <c r="P18" s="13"/>
      <c r="Q18" s="13"/>
      <c r="S18" s="14"/>
      <c r="T18" s="14"/>
      <c r="U18" s="15"/>
    </row>
    <row r="19" spans="1:21" ht="40.15" customHeight="1" x14ac:dyDescent="0.25">
      <c r="A19" s="11"/>
      <c r="B19" s="34"/>
      <c r="C19" s="70" t="str">
        <f>IF($C$5="Civil",VLOOKUP('Aval Hard Skills'!$C$5,'Hard Skills'!A1:U11,10,0),(IF($C$5="Elétrica",VLOOKUP('Aval Hard Skills'!$C$5,'Hard Skills'!A12:U26,10,0),(IF($C$5="Eletromecânica",VLOOKUP('Aval Hard Skills'!$C$5,'Hard Skills'!A27:U40,10,0),(IF($C$5="Ger_Contratos",VLOOKUP('Aval Hard Skills'!$C$5,'Hard Skills'!A41:U43,10,0),(IF($C$5="Adm_Financeiro",VLOOKUP('Aval Hard Skills'!C5,'Hard Skills'!A44:U51,10,))))))))))</f>
        <v>Dominio na integração da base de dados no TAF e TAC</v>
      </c>
      <c r="D19" s="42">
        <f>VLOOKUP(C6,'Hard Skills'!A1:U51,10,0)</f>
        <v>4</v>
      </c>
      <c r="E19" s="43"/>
      <c r="F19" s="42"/>
      <c r="G19" s="36"/>
      <c r="H19" s="12"/>
      <c r="I19" s="12"/>
      <c r="J19" s="12"/>
      <c r="K19" s="12"/>
      <c r="L19" s="13"/>
      <c r="M19" s="13"/>
      <c r="N19" s="13"/>
      <c r="O19" s="13"/>
      <c r="P19" s="13"/>
      <c r="Q19" s="13"/>
      <c r="S19" s="14"/>
      <c r="T19" s="14"/>
      <c r="U19" s="15"/>
    </row>
    <row r="20" spans="1:21" ht="40.15" customHeight="1" x14ac:dyDescent="0.25">
      <c r="A20" s="11"/>
      <c r="B20" s="34"/>
      <c r="C20" s="70" t="str">
        <f>IF($C$5="Civil",VLOOKUP('Aval Hard Skills'!$C$5,'Hard Skills'!A1:U11,11,0),(IF($C$5="Elétrica",VLOOKUP('Aval Hard Skills'!$C$5,'Hard Skills'!A12:U26,11,0),(IF($C$5="Eletromecânica",VLOOKUP('Aval Hard Skills'!$C$5,'Hard Skills'!A27:U40,11,0),(IF($C$5="Ger_Contratos",VLOOKUP('Aval Hard Skills'!$C$5,'Hard Skills'!A41:U43,11,0),(IF($C$5="Adm_Financeiro",VLOOKUP('Aval Hard Skills'!C5,'Hard Skills'!A44:U51,11,))))))))))</f>
        <v>Proj. Básico de MPCC</v>
      </c>
      <c r="D20" s="42">
        <f>VLOOKUP(C6,'Hard Skills'!A1:U51,11,0)</f>
        <v>4</v>
      </c>
      <c r="E20" s="43"/>
      <c r="F20" s="42"/>
      <c r="G20" s="36"/>
      <c r="H20" s="12"/>
      <c r="I20" s="12"/>
      <c r="J20" s="12"/>
      <c r="K20" s="12"/>
      <c r="L20" s="13"/>
      <c r="M20" s="13"/>
      <c r="N20" s="13"/>
      <c r="O20" s="13"/>
      <c r="P20" s="13"/>
      <c r="Q20" s="13"/>
      <c r="S20" s="14"/>
      <c r="T20" s="14"/>
      <c r="U20" s="15"/>
    </row>
    <row r="21" spans="1:21" ht="40.15" customHeight="1" x14ac:dyDescent="0.25">
      <c r="A21" s="11"/>
      <c r="B21" s="34"/>
      <c r="C21" s="70" t="str">
        <f>IF($C$5="Civil",VLOOKUP('Aval Hard Skills'!$C$5,'Hard Skills'!A1:U11,12,0),(IF($C$5="Elétrica",VLOOKUP('Aval Hard Skills'!$C$5,'Hard Skills'!A12:U26,12,0),(IF($C$5="Eletromecânica",VLOOKUP('Aval Hard Skills'!$C$5,'Hard Skills'!A27:U40,12,0),(IF($C$5="Ger_Contratos",VLOOKUP('Aval Hard Skills'!$C$5,'Hard Skills'!A41:U43,12,0),(IF($C$5="Adm_Financeiro",VLOOKUP('Aval Hard Skills'!C5,'Hard Skills'!A44:U51,12,))))))))))</f>
        <v>Proj. Básico de Serv. Aux.</v>
      </c>
      <c r="D21" s="42">
        <f>VLOOKUP(C6,'Hard Skills'!A1:U51,12,0)</f>
        <v>4</v>
      </c>
      <c r="E21" s="43"/>
      <c r="F21" s="43"/>
      <c r="G21" s="36"/>
      <c r="H21" s="16"/>
      <c r="I21" s="16"/>
      <c r="J21" s="16"/>
      <c r="K21" s="16"/>
      <c r="L21" s="14"/>
      <c r="M21" s="14"/>
      <c r="N21" s="14"/>
      <c r="O21" s="14"/>
      <c r="P21" s="14"/>
      <c r="Q21" s="14"/>
      <c r="S21" s="14"/>
      <c r="T21" s="14"/>
      <c r="U21" s="15"/>
    </row>
    <row r="22" spans="1:21" ht="40.15" customHeight="1" x14ac:dyDescent="0.25">
      <c r="A22" s="11"/>
      <c r="B22" s="34"/>
      <c r="C22" s="70" t="str">
        <f>IF($C$5="Civil",VLOOKUP('Aval Hard Skills'!$C$5,'Hard Skills'!A1:U11,13,0),(IF($C$5="Elétrica",VLOOKUP('Aval Hard Skills'!$C$5,'Hard Skills'!A12:U26,13,0),(IF($C$5="Eletromecânica",VLOOKUP('Aval Hard Skills'!$C$5,'Hard Skills'!A27:U40,13,0),(IF($C$5="Ger_Contratos",VLOOKUP('Aval Hard Skills'!$C$5,'Hard Skills'!A41:U43,13,0),(IF($C$5="Adm_Financeiro",VLOOKUP('Aval Hard Skills'!C5,'Hard Skills'!A44:U51,13,))))))))))</f>
        <v>M.C - Carregador /Retificadores</v>
      </c>
      <c r="D22" s="42">
        <f>VLOOKUP(C6,'Hard Skills'!A1:U51,13,0)</f>
        <v>4</v>
      </c>
      <c r="E22" s="43"/>
      <c r="F22" s="43"/>
      <c r="G22" s="36"/>
      <c r="H22" s="16"/>
      <c r="I22" s="16"/>
      <c r="J22" s="16"/>
      <c r="K22" s="16"/>
      <c r="L22" s="14"/>
      <c r="M22" s="14"/>
      <c r="N22" s="14"/>
      <c r="O22" s="14"/>
      <c r="P22" s="14"/>
      <c r="Q22" s="14"/>
      <c r="S22" s="14"/>
      <c r="T22" s="14"/>
      <c r="U22" s="15"/>
    </row>
    <row r="23" spans="1:21" ht="40.15" customHeight="1" x14ac:dyDescent="0.25">
      <c r="A23" s="11"/>
      <c r="B23" s="34"/>
      <c r="C23" s="70" t="str">
        <f>IF($C$5="Civil",VLOOKUP('Aval Hard Skills'!$C$5,'Hard Skills'!A1:U11,14,0),(IF($C$5="Elétrica",VLOOKUP('Aval Hard Skills'!$C$5,'Hard Skills'!A12:U26,14,0),(IF($C$5="Eletromecânica",VLOOKUP('Aval Hard Skills'!$C$5,'Hard Skills'!A27:U40,14,0),(IF($C$5="Ger_Contratos",VLOOKUP('Aval Hard Skills'!$C$5,'Hard Skills'!A41:U43,14,0),(IF($C$5="Adm_Financeiro",VLOOKUP('Aval Hard Skills'!C5,'Hard Skills'!A44:U51,14,))))))))))</f>
        <v>M.C - GMG</v>
      </c>
      <c r="D23" s="42">
        <f>VLOOKUP(C6,'Hard Skills'!A1:U51,14,0)</f>
        <v>4</v>
      </c>
      <c r="E23" s="46"/>
      <c r="F23" s="46"/>
      <c r="G23" s="40"/>
      <c r="H23" s="16"/>
      <c r="I23" s="16"/>
      <c r="J23" s="16"/>
      <c r="K23" s="16"/>
      <c r="L23" s="14"/>
      <c r="M23" s="14"/>
      <c r="N23" s="14"/>
      <c r="O23" s="14"/>
      <c r="P23" s="14"/>
      <c r="Q23" s="14"/>
      <c r="S23" s="14"/>
      <c r="T23" s="14"/>
      <c r="U23" s="15"/>
    </row>
    <row r="24" spans="1:21" ht="40.15" customHeight="1" x14ac:dyDescent="0.25">
      <c r="A24" s="11"/>
      <c r="B24" s="34"/>
      <c r="C24" s="70" t="str">
        <f>IF($C$5="Civil",VLOOKUP('Aval Hard Skills'!$C$5,'Hard Skills'!A1:U11,15,0),(IF($C$5="Elétrica",VLOOKUP('Aval Hard Skills'!$C$5,'Hard Skills'!A12:U26,15,0),(IF($C$5="Eletromecânica",VLOOKUP('Aval Hard Skills'!$C$5,'Hard Skills'!A27:U40,15,0),(IF($C$5="Ger_Contratos",VLOOKUP('Aval Hard Skills'!$C$5,'Hard Skills'!A41:U43,15,0),(IF($C$5="Adm_Financeiro",VLOOKUP('Aval Hard Skills'!C5,'Hard Skills'!A44:U51,15,))))))))))</f>
        <v>Dimens. Cabos e Disparadores</v>
      </c>
      <c r="D24" s="42">
        <f>VLOOKUP(C6,'Hard Skills'!A1:U51,15,0)</f>
        <v>4</v>
      </c>
      <c r="E24" s="46"/>
      <c r="F24" s="46"/>
      <c r="G24" s="40"/>
      <c r="H24" s="16"/>
      <c r="I24" s="16"/>
      <c r="J24" s="16"/>
      <c r="K24" s="16"/>
      <c r="L24" s="14"/>
      <c r="M24" s="14"/>
      <c r="N24" s="14"/>
      <c r="O24" s="14"/>
      <c r="P24" s="14"/>
      <c r="Q24" s="14"/>
      <c r="S24" s="14"/>
      <c r="T24" s="14"/>
      <c r="U24" s="15"/>
    </row>
    <row r="25" spans="1:21" ht="40.15" customHeight="1" x14ac:dyDescent="0.25">
      <c r="A25" s="11"/>
      <c r="B25" s="34"/>
      <c r="C25" s="70" t="str">
        <f>IF($C$5="Civil",VLOOKUP('Aval Hard Skills'!$C$5,'Hard Skills'!A1:U11,16,0),(IF($C$5="Elétrica",VLOOKUP('Aval Hard Skills'!$C$5,'Hard Skills'!A12:U26,16,0),(IF($C$5="Eletromecânica",VLOOKUP('Aval Hard Skills'!$C$5,'Hard Skills'!A27:U40,16,0),(IF($C$5="Ger_Contratos",VLOOKUP('Aval Hard Skills'!$C$5,'Hard Skills'!A41:U43,16,0),(IF($C$5="Adm_Financeiro",VLOOKUP('Aval Hard Skills'!C5,'Hard Skills'!A44:U51,16,))))))))))</f>
        <v>-</v>
      </c>
      <c r="D25" s="42" t="str">
        <f>VLOOKUP(C6,'Hard Skills'!A1:U51,16,0)</f>
        <v>-</v>
      </c>
      <c r="E25" s="46"/>
      <c r="F25" s="46"/>
      <c r="G25" s="40"/>
      <c r="H25" s="16"/>
      <c r="I25" s="16"/>
      <c r="J25" s="16"/>
      <c r="K25" s="16"/>
      <c r="L25" s="14"/>
      <c r="M25" s="14"/>
      <c r="N25" s="14"/>
      <c r="O25" s="14"/>
      <c r="P25" s="14"/>
      <c r="Q25" s="14"/>
      <c r="S25" s="14"/>
      <c r="T25" s="14"/>
      <c r="U25" s="15"/>
    </row>
    <row r="26" spans="1:21" ht="40.15" customHeight="1" x14ac:dyDescent="0.25">
      <c r="A26" s="11"/>
      <c r="B26" s="34"/>
      <c r="C26" s="70" t="str">
        <f>IF($C$5="Civil",VLOOKUP('Aval Hard Skills'!$C$5,'Hard Skills'!A1:U11,17,0),(IF($C$5="Elétrica",VLOOKUP('Aval Hard Skills'!$C$5,'Hard Skills'!A12:U26,17,0),(IF($C$5="Eletromecânica",VLOOKUP('Aval Hard Skills'!$C$5,'Hard Skills'!A27:U40,17,0),(IF($C$5="Ger_Contratos",VLOOKUP('Aval Hard Skills'!$C$5,'Hard Skills'!A41:U43,17,0),(IF($C$5="Adm_Financeiro",VLOOKUP('Aval Hard Skills'!C5,'Hard Skills'!A44:U51,17,))))))))))</f>
        <v>-</v>
      </c>
      <c r="D26" s="42" t="str">
        <f>VLOOKUP(C6,'Hard Skills'!A1:U51,17,0)</f>
        <v>-</v>
      </c>
      <c r="E26" s="46"/>
      <c r="F26" s="46"/>
      <c r="G26" s="40"/>
      <c r="H26" s="16"/>
      <c r="I26" s="16"/>
      <c r="J26" s="16"/>
      <c r="K26" s="16"/>
      <c r="L26" s="14"/>
      <c r="M26" s="14"/>
      <c r="N26" s="14"/>
      <c r="O26" s="14"/>
      <c r="P26" s="14"/>
      <c r="Q26" s="14"/>
      <c r="S26" s="14"/>
      <c r="T26" s="14"/>
      <c r="U26" s="15"/>
    </row>
    <row r="27" spans="1:21" ht="40.15" customHeight="1" x14ac:dyDescent="0.25">
      <c r="A27" s="11"/>
      <c r="B27" s="34"/>
      <c r="C27" s="70" t="str">
        <f>IF($C$5="Civil",VLOOKUP('Aval Hard Skills'!$C$5,'Hard Skills'!A1:U11,18,0),(IF($C$5="Elétrica",VLOOKUP('Aval Hard Skills'!$C$5,'Hard Skills'!A12:U26,18,0),(IF($C$5="Eletromecânica",VLOOKUP('Aval Hard Skills'!$C$5,'Hard Skills'!A27:U40,18,0),(IF($C$5="Ger_Contratos",VLOOKUP('Aval Hard Skills'!$C$5,'Hard Skills'!A41:U43,18,0),(IF($C$5="Adm_Financeiro",VLOOKUP('Aval Hard Skills'!C5,'Hard Skills'!A44:U51,18,))))))))))</f>
        <v>-</v>
      </c>
      <c r="D27" s="42" t="str">
        <f>VLOOKUP(C6,'Hard Skills'!A1:U51,18,0)</f>
        <v>-</v>
      </c>
      <c r="E27" s="46"/>
      <c r="F27" s="46"/>
      <c r="G27" s="40"/>
      <c r="H27" s="16"/>
      <c r="I27" s="16"/>
      <c r="J27" s="16"/>
      <c r="K27" s="16"/>
      <c r="L27" s="14"/>
      <c r="M27" s="14"/>
      <c r="N27" s="14"/>
      <c r="O27" s="14"/>
      <c r="P27" s="14"/>
      <c r="Q27" s="14"/>
      <c r="S27" s="14"/>
      <c r="T27" s="14"/>
      <c r="U27" s="15"/>
    </row>
    <row r="28" spans="1:21" ht="40.15" customHeight="1" x14ac:dyDescent="0.25">
      <c r="A28" s="11"/>
      <c r="B28" s="34"/>
      <c r="C28" s="70" t="str">
        <f>IF($C$5="Civil",VLOOKUP('Aval Hard Skills'!$C$5,'Hard Skills'!A1:U11,19,0),(IF($C$5="Elétrica",VLOOKUP('Aval Hard Skills'!$C$5,'Hard Skills'!A12:U26,19,0),(IF($C$5="Eletromecânica",VLOOKUP('Aval Hard Skills'!$C$5,'Hard Skills'!A27:U40,19,0),(IF($C$5="Ger_Contratos",VLOOKUP('Aval Hard Skills'!$C$5,'Hard Skills'!A41:U43,19,0),(IF($C$5="Adm_Financeiro",VLOOKUP('Aval Hard Skills'!C5,'Hard Skills'!A44:U51,19,))))))))))</f>
        <v>-</v>
      </c>
      <c r="D28" s="42" t="str">
        <f>VLOOKUP(C6,'Hard Skills'!A1:U51,19,0)</f>
        <v>-</v>
      </c>
      <c r="E28" s="46"/>
      <c r="F28" s="46"/>
      <c r="G28" s="40"/>
      <c r="H28" s="16"/>
      <c r="I28" s="16"/>
      <c r="J28" s="16"/>
      <c r="K28" s="16"/>
      <c r="L28" s="14"/>
      <c r="M28" s="14"/>
      <c r="N28" s="14"/>
      <c r="O28" s="14"/>
      <c r="P28" s="14"/>
      <c r="Q28" s="14"/>
      <c r="S28" s="14"/>
      <c r="T28" s="14"/>
      <c r="U28" s="15"/>
    </row>
    <row r="29" spans="1:21" ht="40.15" customHeight="1" x14ac:dyDescent="0.25">
      <c r="A29" s="11"/>
      <c r="B29" s="34"/>
      <c r="C29" s="70" t="str">
        <f>IF($C$5="Civil",VLOOKUP('Aval Hard Skills'!$C$5,'Hard Skills'!A1:U11,20,0),(IF($C$5="Elétrica",VLOOKUP('Aval Hard Skills'!$C$5,'Hard Skills'!A12:U26,20,0),(IF($C$5="Eletromecânica",VLOOKUP('Aval Hard Skills'!$C$5,'Hard Skills'!A27:U40,20,0),(IF($C$5="Ger_Contratos",VLOOKUP('Aval Hard Skills'!$C$5,'Hard Skills'!A41:U43,20,0),(IF($C$5="Adm_Financeiro",VLOOKUP('Aval Hard Skills'!C5,'Hard Skills'!A44:U51,20,))))))))))</f>
        <v>-</v>
      </c>
      <c r="D29" s="42" t="str">
        <f>VLOOKUP(C6,'Hard Skills'!A1:U51,20,0)</f>
        <v>-</v>
      </c>
      <c r="E29" s="46"/>
      <c r="F29" s="46"/>
      <c r="G29" s="40"/>
      <c r="H29" s="16"/>
      <c r="I29" s="16"/>
      <c r="J29" s="16"/>
      <c r="K29" s="16"/>
      <c r="L29" s="14"/>
      <c r="M29" s="14"/>
      <c r="N29" s="14"/>
      <c r="O29" s="14"/>
      <c r="P29" s="14"/>
      <c r="Q29" s="14"/>
      <c r="S29" s="14"/>
      <c r="T29" s="14"/>
      <c r="U29" s="15"/>
    </row>
    <row r="30" spans="1:21" ht="18.399999999999999" customHeight="1" x14ac:dyDescent="0.25">
      <c r="A30" s="11"/>
      <c r="B30" s="34"/>
      <c r="C30" s="64" t="s">
        <v>196</v>
      </c>
      <c r="D30" s="80">
        <f>AVERAGE(D12:D29)</f>
        <v>4</v>
      </c>
      <c r="E30" s="80" t="e">
        <f>AVERAGE(E12:E29)</f>
        <v>#DIV/0!</v>
      </c>
      <c r="F30" s="80" t="e">
        <f>AVERAGE(F12:F29)</f>
        <v>#DIV/0!</v>
      </c>
      <c r="G30" s="35"/>
      <c r="H30" s="16"/>
      <c r="I30" s="16"/>
      <c r="J30" s="16"/>
      <c r="K30" s="16"/>
      <c r="L30" s="14"/>
      <c r="M30" s="14"/>
      <c r="N30" s="14"/>
      <c r="O30" s="14"/>
      <c r="P30" s="14"/>
      <c r="Q30" s="14"/>
      <c r="S30" s="14"/>
      <c r="T30" s="14"/>
      <c r="U30" s="15"/>
    </row>
    <row r="31" spans="1:21" ht="9" customHeight="1" x14ac:dyDescent="0.25">
      <c r="A31" s="1"/>
      <c r="B31" s="37"/>
      <c r="C31" s="20"/>
      <c r="D31" s="20"/>
      <c r="E31" s="20"/>
      <c r="F31" s="20"/>
      <c r="G31" s="20"/>
      <c r="H31" s="7"/>
      <c r="I31" s="7"/>
      <c r="J31" s="7"/>
      <c r="K31" s="7"/>
      <c r="L31" s="8"/>
      <c r="M31" s="8"/>
      <c r="N31" s="8"/>
      <c r="O31" s="8"/>
      <c r="P31" s="8"/>
      <c r="Q31" s="8"/>
      <c r="S31" s="3"/>
      <c r="T31" s="3"/>
      <c r="U31" s="3"/>
    </row>
    <row r="32" spans="1:21" ht="48.75" customHeight="1" x14ac:dyDescent="0.25">
      <c r="A32" s="1"/>
      <c r="B32" s="34" t="s">
        <v>211</v>
      </c>
      <c r="C32" s="21"/>
      <c r="D32" s="34" t="s">
        <v>212</v>
      </c>
      <c r="E32" s="84" t="s">
        <v>213</v>
      </c>
      <c r="F32" s="34" t="s">
        <v>15</v>
      </c>
      <c r="G32" s="21"/>
      <c r="H32" s="7"/>
      <c r="I32" s="7"/>
      <c r="J32" s="7"/>
      <c r="K32" s="7"/>
      <c r="L32" s="8"/>
      <c r="M32" s="8"/>
      <c r="N32" s="8"/>
      <c r="O32" s="8"/>
      <c r="P32" s="8"/>
      <c r="Q32" s="8"/>
      <c r="S32" s="3"/>
      <c r="T32" s="3"/>
      <c r="U32" s="3"/>
    </row>
    <row r="33" spans="1:21" ht="6.75" customHeight="1" x14ac:dyDescent="0.25">
      <c r="A33" s="1"/>
      <c r="B33" s="2"/>
      <c r="C33" s="1"/>
      <c r="D33" s="1"/>
      <c r="E33" s="1"/>
      <c r="F33" s="1"/>
      <c r="G33" s="1"/>
      <c r="H33" s="1"/>
      <c r="I33" s="1"/>
      <c r="J33" s="1"/>
      <c r="K33" s="1"/>
      <c r="L33" s="3"/>
      <c r="M33" s="3"/>
      <c r="N33" s="3"/>
      <c r="O33" s="3"/>
      <c r="P33" s="3"/>
      <c r="Q33" s="3"/>
      <c r="R33" s="3"/>
      <c r="S33" s="3"/>
      <c r="T33" s="3"/>
      <c r="U33" s="3"/>
    </row>
    <row r="34" spans="1:21" ht="18.75" customHeight="1" x14ac:dyDescent="0.25">
      <c r="A34" s="3"/>
      <c r="B34" s="14"/>
      <c r="C34" s="3"/>
      <c r="D34" s="3"/>
      <c r="E34" s="3"/>
      <c r="F34" s="3"/>
      <c r="G34" s="3"/>
      <c r="H34" s="3"/>
      <c r="I34" s="3"/>
      <c r="J34" s="3"/>
      <c r="K34" s="3"/>
      <c r="L34" s="3"/>
      <c r="M34" s="3"/>
      <c r="N34" s="3"/>
      <c r="O34" s="3"/>
      <c r="P34" s="3"/>
      <c r="Q34" s="3"/>
      <c r="R34" s="3"/>
      <c r="S34" s="3"/>
      <c r="T34" s="3"/>
      <c r="U34" s="3"/>
    </row>
    <row r="35" spans="1:21" ht="25.9" customHeight="1" x14ac:dyDescent="0.2">
      <c r="B35" s="24"/>
      <c r="C35" s="51"/>
      <c r="D35" s="51"/>
      <c r="E35" s="51"/>
      <c r="F35" s="24"/>
    </row>
    <row r="36" spans="1:21" ht="25.9" customHeight="1" x14ac:dyDescent="0.2">
      <c r="B36" s="24"/>
      <c r="C36" s="51"/>
      <c r="D36" s="51"/>
      <c r="E36" s="51"/>
      <c r="F36" s="24"/>
    </row>
    <row r="37" spans="1:21" ht="25.9" customHeight="1" x14ac:dyDescent="0.2">
      <c r="B37" s="24"/>
      <c r="C37" s="51"/>
      <c r="D37" s="51"/>
      <c r="E37" s="24"/>
      <c r="F37" s="24"/>
    </row>
    <row r="38" spans="1:21" ht="18.75" customHeight="1" x14ac:dyDescent="0.25"/>
    <row r="39" spans="1:21" ht="18.75" customHeight="1" x14ac:dyDescent="0.25">
      <c r="B39" s="24"/>
      <c r="C39" s="25"/>
      <c r="D39" s="50"/>
      <c r="E39" s="50"/>
    </row>
    <row r="40" spans="1:21" ht="18.75" customHeight="1" x14ac:dyDescent="0.25">
      <c r="B40" s="24"/>
      <c r="C40" s="25"/>
      <c r="D40" s="50"/>
      <c r="E40" s="50"/>
    </row>
    <row r="41" spans="1:21" ht="18.75" customHeight="1" x14ac:dyDescent="0.25">
      <c r="B41" s="24"/>
      <c r="C41" s="25"/>
      <c r="D41" s="50"/>
      <c r="E41" s="50"/>
    </row>
    <row r="42" spans="1:21" ht="18.75" customHeight="1" x14ac:dyDescent="0.25">
      <c r="B42" s="24"/>
      <c r="C42" s="25"/>
      <c r="D42" s="50"/>
      <c r="E42" s="50"/>
    </row>
    <row r="43" spans="1:21" ht="18.75" customHeight="1" x14ac:dyDescent="0.25">
      <c r="B43" s="24"/>
      <c r="C43" s="25"/>
      <c r="D43" s="50"/>
      <c r="E43" s="50"/>
    </row>
    <row r="44" spans="1:21" ht="18.75" customHeight="1" x14ac:dyDescent="0.25"/>
    <row r="45" spans="1:21" ht="18.75" customHeight="1" x14ac:dyDescent="0.25"/>
    <row r="46" spans="1:21" ht="18.75" customHeight="1" x14ac:dyDescent="0.25"/>
    <row r="47" spans="1:21" ht="18.75" customHeight="1" x14ac:dyDescent="0.25"/>
    <row r="48" spans="1:21"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spans="1:11" ht="18.75" customHeight="1" x14ac:dyDescent="0.25"/>
    <row r="98" spans="1:11" ht="18.75" customHeight="1" x14ac:dyDescent="0.25"/>
    <row r="99" spans="1:11" ht="18.75" customHeight="1" x14ac:dyDescent="0.25"/>
    <row r="100" spans="1:11" ht="18.75" customHeight="1" x14ac:dyDescent="0.25"/>
    <row r="101" spans="1:11" ht="18.75" customHeight="1" x14ac:dyDescent="0.25"/>
    <row r="102" spans="1:11" ht="18.75" customHeight="1" x14ac:dyDescent="0.25">
      <c r="A102" s="2"/>
      <c r="B102" s="2"/>
      <c r="C102" s="2"/>
      <c r="D102" s="2"/>
      <c r="E102" s="2"/>
      <c r="F102" s="2"/>
      <c r="G102" s="2"/>
      <c r="H102" s="2"/>
      <c r="I102" s="2"/>
      <c r="J102" s="2"/>
      <c r="K102" s="2"/>
    </row>
    <row r="103" spans="1:11" ht="18.75" customHeight="1" x14ac:dyDescent="0.25">
      <c r="A103" s="2"/>
      <c r="B103" s="2"/>
      <c r="C103" s="2"/>
      <c r="D103" s="2"/>
      <c r="E103" s="2"/>
      <c r="F103" s="2"/>
      <c r="G103" s="2"/>
      <c r="H103" s="2"/>
      <c r="I103" s="2"/>
      <c r="J103" s="2"/>
      <c r="K103" s="2"/>
    </row>
    <row r="104" spans="1:11" ht="18.75" customHeight="1" x14ac:dyDescent="0.25">
      <c r="A104" s="2"/>
      <c r="B104" s="2"/>
      <c r="C104" s="2"/>
      <c r="D104" s="2"/>
      <c r="E104" s="2"/>
      <c r="F104" s="2"/>
      <c r="G104" s="2"/>
      <c r="H104" s="2"/>
      <c r="I104" s="2"/>
      <c r="J104" s="2"/>
      <c r="K104" s="2"/>
    </row>
    <row r="105" spans="1:11" ht="18.75" customHeight="1" x14ac:dyDescent="0.25">
      <c r="A105" s="2"/>
      <c r="B105" s="2"/>
      <c r="C105" s="2"/>
      <c r="D105" s="2"/>
      <c r="E105" s="2"/>
      <c r="F105" s="2"/>
      <c r="G105" s="2"/>
      <c r="H105" s="2"/>
      <c r="I105" s="2"/>
      <c r="J105" s="2"/>
      <c r="K105" s="2"/>
    </row>
    <row r="106" spans="1:11" ht="18.75" customHeight="1" x14ac:dyDescent="0.25">
      <c r="A106" s="2"/>
      <c r="B106" s="2"/>
      <c r="C106" s="2"/>
      <c r="D106" s="2"/>
      <c r="E106" s="2"/>
      <c r="F106" s="2"/>
      <c r="G106" s="2"/>
      <c r="H106" s="2"/>
      <c r="I106" s="2"/>
      <c r="J106" s="2"/>
      <c r="K106" s="2"/>
    </row>
    <row r="107" spans="1:11" ht="18.75" customHeight="1" x14ac:dyDescent="0.25">
      <c r="A107" s="2"/>
      <c r="B107" s="2"/>
      <c r="C107" s="2"/>
      <c r="D107" s="2"/>
      <c r="E107" s="2"/>
      <c r="F107" s="2"/>
      <c r="G107" s="2"/>
      <c r="H107" s="2"/>
      <c r="I107" s="2"/>
      <c r="J107" s="2"/>
      <c r="K107" s="2"/>
    </row>
    <row r="108" spans="1:11" ht="18.75" customHeight="1" x14ac:dyDescent="0.25">
      <c r="A108" s="2"/>
      <c r="B108" s="2"/>
      <c r="C108" s="2"/>
      <c r="D108" s="2"/>
      <c r="E108" s="2"/>
      <c r="F108" s="2"/>
      <c r="G108" s="2"/>
      <c r="H108" s="2"/>
      <c r="I108" s="2"/>
      <c r="J108" s="2"/>
      <c r="K108" s="2"/>
    </row>
    <row r="109" spans="1:11" ht="18.75" customHeight="1" x14ac:dyDescent="0.25">
      <c r="A109" s="2"/>
      <c r="B109" s="2"/>
      <c r="C109" s="2"/>
      <c r="D109" s="2"/>
      <c r="E109" s="2"/>
      <c r="F109" s="2"/>
      <c r="G109" s="2"/>
      <c r="H109" s="2"/>
      <c r="I109" s="2"/>
      <c r="J109" s="2"/>
      <c r="K109" s="2"/>
    </row>
    <row r="110" spans="1:11" ht="18.75" customHeight="1" x14ac:dyDescent="0.25">
      <c r="A110" s="2"/>
      <c r="B110" s="2"/>
      <c r="C110" s="2"/>
      <c r="D110" s="2"/>
      <c r="E110" s="2"/>
      <c r="F110" s="2"/>
      <c r="G110" s="2"/>
      <c r="H110" s="2"/>
      <c r="I110" s="2"/>
      <c r="J110" s="2"/>
      <c r="K110" s="2"/>
    </row>
    <row r="111" spans="1:11" ht="18.75" customHeight="1" x14ac:dyDescent="0.25">
      <c r="A111" s="2"/>
      <c r="B111" s="2"/>
      <c r="C111" s="2"/>
      <c r="D111" s="2"/>
      <c r="E111" s="2"/>
      <c r="F111" s="2"/>
      <c r="G111" s="2"/>
      <c r="H111" s="2"/>
      <c r="I111" s="2"/>
      <c r="J111" s="2"/>
      <c r="K111" s="2"/>
    </row>
  </sheetData>
  <mergeCells count="3">
    <mergeCell ref="C2:F2"/>
    <mergeCell ref="D4:G8"/>
    <mergeCell ref="D9:F9"/>
  </mergeCells>
  <dataValidations disablePrompts="1" count="4">
    <dataValidation type="list" allowBlank="1" showInputMessage="1" showErrorMessage="1" prompt="Escolha a Competência a ser desenvolvida" sqref="F983042 C65538:D65538 IY65538:IZ65538 SU65538:SV65538 ACQ65538:ACR65538 AMM65538:AMN65538 AWI65538:AWJ65538 BGE65538:BGF65538 BQA65538:BQB65538 BZW65538:BZX65538 CJS65538:CJT65538 CTO65538:CTP65538 DDK65538:DDL65538 DNG65538:DNH65538 DXC65538:DXD65538 EGY65538:EGZ65538 EQU65538:EQV65538 FAQ65538:FAR65538 FKM65538:FKN65538 FUI65538:FUJ65538 GEE65538:GEF65538 GOA65538:GOB65538 GXW65538:GXX65538 HHS65538:HHT65538 HRO65538:HRP65538 IBK65538:IBL65538 ILG65538:ILH65538 IVC65538:IVD65538 JEY65538:JEZ65538 JOU65538:JOV65538 JYQ65538:JYR65538 KIM65538:KIN65538 KSI65538:KSJ65538 LCE65538:LCF65538 LMA65538:LMB65538 LVW65538:LVX65538 MFS65538:MFT65538 MPO65538:MPP65538 MZK65538:MZL65538 NJG65538:NJH65538 NTC65538:NTD65538 OCY65538:OCZ65538 OMU65538:OMV65538 OWQ65538:OWR65538 PGM65538:PGN65538 PQI65538:PQJ65538 QAE65538:QAF65538 QKA65538:QKB65538 QTW65538:QTX65538 RDS65538:RDT65538 RNO65538:RNP65538 RXK65538:RXL65538 SHG65538:SHH65538 SRC65538:SRD65538 TAY65538:TAZ65538 TKU65538:TKV65538 TUQ65538:TUR65538 UEM65538:UEN65538 UOI65538:UOJ65538 UYE65538:UYF65538 VIA65538:VIB65538 VRW65538:VRX65538 WBS65538:WBT65538 WLO65538:WLP65538 WVK65538:WVL65538 C131074:D131074 IY131074:IZ131074 SU131074:SV131074 ACQ131074:ACR131074 AMM131074:AMN131074 AWI131074:AWJ131074 BGE131074:BGF131074 BQA131074:BQB131074 BZW131074:BZX131074 CJS131074:CJT131074 CTO131074:CTP131074 DDK131074:DDL131074 DNG131074:DNH131074 DXC131074:DXD131074 EGY131074:EGZ131074 EQU131074:EQV131074 FAQ131074:FAR131074 FKM131074:FKN131074 FUI131074:FUJ131074 GEE131074:GEF131074 GOA131074:GOB131074 GXW131074:GXX131074 HHS131074:HHT131074 HRO131074:HRP131074 IBK131074:IBL131074 ILG131074:ILH131074 IVC131074:IVD131074 JEY131074:JEZ131074 JOU131074:JOV131074 JYQ131074:JYR131074 KIM131074:KIN131074 KSI131074:KSJ131074 LCE131074:LCF131074 LMA131074:LMB131074 LVW131074:LVX131074 MFS131074:MFT131074 MPO131074:MPP131074 MZK131074:MZL131074 NJG131074:NJH131074 NTC131074:NTD131074 OCY131074:OCZ131074 OMU131074:OMV131074 OWQ131074:OWR131074 PGM131074:PGN131074 PQI131074:PQJ131074 QAE131074:QAF131074 QKA131074:QKB131074 QTW131074:QTX131074 RDS131074:RDT131074 RNO131074:RNP131074 RXK131074:RXL131074 SHG131074:SHH131074 SRC131074:SRD131074 TAY131074:TAZ131074 TKU131074:TKV131074 TUQ131074:TUR131074 UEM131074:UEN131074 UOI131074:UOJ131074 UYE131074:UYF131074 VIA131074:VIB131074 VRW131074:VRX131074 WBS131074:WBT131074 WLO131074:WLP131074 WVK131074:WVL131074 C196610:D196610 IY196610:IZ196610 SU196610:SV196610 ACQ196610:ACR196610 AMM196610:AMN196610 AWI196610:AWJ196610 BGE196610:BGF196610 BQA196610:BQB196610 BZW196610:BZX196610 CJS196610:CJT196610 CTO196610:CTP196610 DDK196610:DDL196610 DNG196610:DNH196610 DXC196610:DXD196610 EGY196610:EGZ196610 EQU196610:EQV196610 FAQ196610:FAR196610 FKM196610:FKN196610 FUI196610:FUJ196610 GEE196610:GEF196610 GOA196610:GOB196610 GXW196610:GXX196610 HHS196610:HHT196610 HRO196610:HRP196610 IBK196610:IBL196610 ILG196610:ILH196610 IVC196610:IVD196610 JEY196610:JEZ196610 JOU196610:JOV196610 JYQ196610:JYR196610 KIM196610:KIN196610 KSI196610:KSJ196610 LCE196610:LCF196610 LMA196610:LMB196610 LVW196610:LVX196610 MFS196610:MFT196610 MPO196610:MPP196610 MZK196610:MZL196610 NJG196610:NJH196610 NTC196610:NTD196610 OCY196610:OCZ196610 OMU196610:OMV196610 OWQ196610:OWR196610 PGM196610:PGN196610 PQI196610:PQJ196610 QAE196610:QAF196610 QKA196610:QKB196610 QTW196610:QTX196610 RDS196610:RDT196610 RNO196610:RNP196610 RXK196610:RXL196610 SHG196610:SHH196610 SRC196610:SRD196610 TAY196610:TAZ196610 TKU196610:TKV196610 TUQ196610:TUR196610 UEM196610:UEN196610 UOI196610:UOJ196610 UYE196610:UYF196610 VIA196610:VIB196610 VRW196610:VRX196610 WBS196610:WBT196610 WLO196610:WLP196610 WVK196610:WVL196610 C262146:D262146 IY262146:IZ262146 SU262146:SV262146 ACQ262146:ACR262146 AMM262146:AMN262146 AWI262146:AWJ262146 BGE262146:BGF262146 BQA262146:BQB262146 BZW262146:BZX262146 CJS262146:CJT262146 CTO262146:CTP262146 DDK262146:DDL262146 DNG262146:DNH262146 DXC262146:DXD262146 EGY262146:EGZ262146 EQU262146:EQV262146 FAQ262146:FAR262146 FKM262146:FKN262146 FUI262146:FUJ262146 GEE262146:GEF262146 GOA262146:GOB262146 GXW262146:GXX262146 HHS262146:HHT262146 HRO262146:HRP262146 IBK262146:IBL262146 ILG262146:ILH262146 IVC262146:IVD262146 JEY262146:JEZ262146 JOU262146:JOV262146 JYQ262146:JYR262146 KIM262146:KIN262146 KSI262146:KSJ262146 LCE262146:LCF262146 LMA262146:LMB262146 LVW262146:LVX262146 MFS262146:MFT262146 MPO262146:MPP262146 MZK262146:MZL262146 NJG262146:NJH262146 NTC262146:NTD262146 OCY262146:OCZ262146 OMU262146:OMV262146 OWQ262146:OWR262146 PGM262146:PGN262146 PQI262146:PQJ262146 QAE262146:QAF262146 QKA262146:QKB262146 QTW262146:QTX262146 RDS262146:RDT262146 RNO262146:RNP262146 RXK262146:RXL262146 SHG262146:SHH262146 SRC262146:SRD262146 TAY262146:TAZ262146 TKU262146:TKV262146 TUQ262146:TUR262146 UEM262146:UEN262146 UOI262146:UOJ262146 UYE262146:UYF262146 VIA262146:VIB262146 VRW262146:VRX262146 WBS262146:WBT262146 WLO262146:WLP262146 WVK262146:WVL262146 C327682:D327682 IY327682:IZ327682 SU327682:SV327682 ACQ327682:ACR327682 AMM327682:AMN327682 AWI327682:AWJ327682 BGE327682:BGF327682 BQA327682:BQB327682 BZW327682:BZX327682 CJS327682:CJT327682 CTO327682:CTP327682 DDK327682:DDL327682 DNG327682:DNH327682 DXC327682:DXD327682 EGY327682:EGZ327682 EQU327682:EQV327682 FAQ327682:FAR327682 FKM327682:FKN327682 FUI327682:FUJ327682 GEE327682:GEF327682 GOA327682:GOB327682 GXW327682:GXX327682 HHS327682:HHT327682 HRO327682:HRP327682 IBK327682:IBL327682 ILG327682:ILH327682 IVC327682:IVD327682 JEY327682:JEZ327682 JOU327682:JOV327682 JYQ327682:JYR327682 KIM327682:KIN327682 KSI327682:KSJ327682 LCE327682:LCF327682 LMA327682:LMB327682 LVW327682:LVX327682 MFS327682:MFT327682 MPO327682:MPP327682 MZK327682:MZL327682 NJG327682:NJH327682 NTC327682:NTD327682 OCY327682:OCZ327682 OMU327682:OMV327682 OWQ327682:OWR327682 PGM327682:PGN327682 PQI327682:PQJ327682 QAE327682:QAF327682 QKA327682:QKB327682 QTW327682:QTX327682 RDS327682:RDT327682 RNO327682:RNP327682 RXK327682:RXL327682 SHG327682:SHH327682 SRC327682:SRD327682 TAY327682:TAZ327682 TKU327682:TKV327682 TUQ327682:TUR327682 UEM327682:UEN327682 UOI327682:UOJ327682 UYE327682:UYF327682 VIA327682:VIB327682 VRW327682:VRX327682 WBS327682:WBT327682 WLO327682:WLP327682 WVK327682:WVL327682 C393218:D393218 IY393218:IZ393218 SU393218:SV393218 ACQ393218:ACR393218 AMM393218:AMN393218 AWI393218:AWJ393218 BGE393218:BGF393218 BQA393218:BQB393218 BZW393218:BZX393218 CJS393218:CJT393218 CTO393218:CTP393218 DDK393218:DDL393218 DNG393218:DNH393218 DXC393218:DXD393218 EGY393218:EGZ393218 EQU393218:EQV393218 FAQ393218:FAR393218 FKM393218:FKN393218 FUI393218:FUJ393218 GEE393218:GEF393218 GOA393218:GOB393218 GXW393218:GXX393218 HHS393218:HHT393218 HRO393218:HRP393218 IBK393218:IBL393218 ILG393218:ILH393218 IVC393218:IVD393218 JEY393218:JEZ393218 JOU393218:JOV393218 JYQ393218:JYR393218 KIM393218:KIN393218 KSI393218:KSJ393218 LCE393218:LCF393218 LMA393218:LMB393218 LVW393218:LVX393218 MFS393218:MFT393218 MPO393218:MPP393218 MZK393218:MZL393218 NJG393218:NJH393218 NTC393218:NTD393218 OCY393218:OCZ393218 OMU393218:OMV393218 OWQ393218:OWR393218 PGM393218:PGN393218 PQI393218:PQJ393218 QAE393218:QAF393218 QKA393218:QKB393218 QTW393218:QTX393218 RDS393218:RDT393218 RNO393218:RNP393218 RXK393218:RXL393218 SHG393218:SHH393218 SRC393218:SRD393218 TAY393218:TAZ393218 TKU393218:TKV393218 TUQ393218:TUR393218 UEM393218:UEN393218 UOI393218:UOJ393218 UYE393218:UYF393218 VIA393218:VIB393218 VRW393218:VRX393218 WBS393218:WBT393218 WLO393218:WLP393218 WVK393218:WVL393218 C458754:D458754 IY458754:IZ458754 SU458754:SV458754 ACQ458754:ACR458754 AMM458754:AMN458754 AWI458754:AWJ458754 BGE458754:BGF458754 BQA458754:BQB458754 BZW458754:BZX458754 CJS458754:CJT458754 CTO458754:CTP458754 DDK458754:DDL458754 DNG458754:DNH458754 DXC458754:DXD458754 EGY458754:EGZ458754 EQU458754:EQV458754 FAQ458754:FAR458754 FKM458754:FKN458754 FUI458754:FUJ458754 GEE458754:GEF458754 GOA458754:GOB458754 GXW458754:GXX458754 HHS458754:HHT458754 HRO458754:HRP458754 IBK458754:IBL458754 ILG458754:ILH458754 IVC458754:IVD458754 JEY458754:JEZ458754 JOU458754:JOV458754 JYQ458754:JYR458754 KIM458754:KIN458754 KSI458754:KSJ458754 LCE458754:LCF458754 LMA458754:LMB458754 LVW458754:LVX458754 MFS458754:MFT458754 MPO458754:MPP458754 MZK458754:MZL458754 NJG458754:NJH458754 NTC458754:NTD458754 OCY458754:OCZ458754 OMU458754:OMV458754 OWQ458754:OWR458754 PGM458754:PGN458754 PQI458754:PQJ458754 QAE458754:QAF458754 QKA458754:QKB458754 QTW458754:QTX458754 RDS458754:RDT458754 RNO458754:RNP458754 RXK458754:RXL458754 SHG458754:SHH458754 SRC458754:SRD458754 TAY458754:TAZ458754 TKU458754:TKV458754 TUQ458754:TUR458754 UEM458754:UEN458754 UOI458754:UOJ458754 UYE458754:UYF458754 VIA458754:VIB458754 VRW458754:VRX458754 WBS458754:WBT458754 WLO458754:WLP458754 WVK458754:WVL458754 C524290:D524290 IY524290:IZ524290 SU524290:SV524290 ACQ524290:ACR524290 AMM524290:AMN524290 AWI524290:AWJ524290 BGE524290:BGF524290 BQA524290:BQB524290 BZW524290:BZX524290 CJS524290:CJT524290 CTO524290:CTP524290 DDK524290:DDL524290 DNG524290:DNH524290 DXC524290:DXD524290 EGY524290:EGZ524290 EQU524290:EQV524290 FAQ524290:FAR524290 FKM524290:FKN524290 FUI524290:FUJ524290 GEE524290:GEF524290 GOA524290:GOB524290 GXW524290:GXX524290 HHS524290:HHT524290 HRO524290:HRP524290 IBK524290:IBL524290 ILG524290:ILH524290 IVC524290:IVD524290 JEY524290:JEZ524290 JOU524290:JOV524290 JYQ524290:JYR524290 KIM524290:KIN524290 KSI524290:KSJ524290 LCE524290:LCF524290 LMA524290:LMB524290 LVW524290:LVX524290 MFS524290:MFT524290 MPO524290:MPP524290 MZK524290:MZL524290 NJG524290:NJH524290 NTC524290:NTD524290 OCY524290:OCZ524290 OMU524290:OMV524290 OWQ524290:OWR524290 PGM524290:PGN524290 PQI524290:PQJ524290 QAE524290:QAF524290 QKA524290:QKB524290 QTW524290:QTX524290 RDS524290:RDT524290 RNO524290:RNP524290 RXK524290:RXL524290 SHG524290:SHH524290 SRC524290:SRD524290 TAY524290:TAZ524290 TKU524290:TKV524290 TUQ524290:TUR524290 UEM524290:UEN524290 UOI524290:UOJ524290 UYE524290:UYF524290 VIA524290:VIB524290 VRW524290:VRX524290 WBS524290:WBT524290 WLO524290:WLP524290 WVK524290:WVL524290 C589826:D589826 IY589826:IZ589826 SU589826:SV589826 ACQ589826:ACR589826 AMM589826:AMN589826 AWI589826:AWJ589826 BGE589826:BGF589826 BQA589826:BQB589826 BZW589826:BZX589826 CJS589826:CJT589826 CTO589826:CTP589826 DDK589826:DDL589826 DNG589826:DNH589826 DXC589826:DXD589826 EGY589826:EGZ589826 EQU589826:EQV589826 FAQ589826:FAR589826 FKM589826:FKN589826 FUI589826:FUJ589826 GEE589826:GEF589826 GOA589826:GOB589826 GXW589826:GXX589826 HHS589826:HHT589826 HRO589826:HRP589826 IBK589826:IBL589826 ILG589826:ILH589826 IVC589826:IVD589826 JEY589826:JEZ589826 JOU589826:JOV589826 JYQ589826:JYR589826 KIM589826:KIN589826 KSI589826:KSJ589826 LCE589826:LCF589826 LMA589826:LMB589826 LVW589826:LVX589826 MFS589826:MFT589826 MPO589826:MPP589826 MZK589826:MZL589826 NJG589826:NJH589826 NTC589826:NTD589826 OCY589826:OCZ589826 OMU589826:OMV589826 OWQ589826:OWR589826 PGM589826:PGN589826 PQI589826:PQJ589826 QAE589826:QAF589826 QKA589826:QKB589826 QTW589826:QTX589826 RDS589826:RDT589826 RNO589826:RNP589826 RXK589826:RXL589826 SHG589826:SHH589826 SRC589826:SRD589826 TAY589826:TAZ589826 TKU589826:TKV589826 TUQ589826:TUR589826 UEM589826:UEN589826 UOI589826:UOJ589826 UYE589826:UYF589826 VIA589826:VIB589826 VRW589826:VRX589826 WBS589826:WBT589826 WLO589826:WLP589826 WVK589826:WVL589826 C655362:D655362 IY655362:IZ655362 SU655362:SV655362 ACQ655362:ACR655362 AMM655362:AMN655362 AWI655362:AWJ655362 BGE655362:BGF655362 BQA655362:BQB655362 BZW655362:BZX655362 CJS655362:CJT655362 CTO655362:CTP655362 DDK655362:DDL655362 DNG655362:DNH655362 DXC655362:DXD655362 EGY655362:EGZ655362 EQU655362:EQV655362 FAQ655362:FAR655362 FKM655362:FKN655362 FUI655362:FUJ655362 GEE655362:GEF655362 GOA655362:GOB655362 GXW655362:GXX655362 HHS655362:HHT655362 HRO655362:HRP655362 IBK655362:IBL655362 ILG655362:ILH655362 IVC655362:IVD655362 JEY655362:JEZ655362 JOU655362:JOV655362 JYQ655362:JYR655362 KIM655362:KIN655362 KSI655362:KSJ655362 LCE655362:LCF655362 LMA655362:LMB655362 LVW655362:LVX655362 MFS655362:MFT655362 MPO655362:MPP655362 MZK655362:MZL655362 NJG655362:NJH655362 NTC655362:NTD655362 OCY655362:OCZ655362 OMU655362:OMV655362 OWQ655362:OWR655362 PGM655362:PGN655362 PQI655362:PQJ655362 QAE655362:QAF655362 QKA655362:QKB655362 QTW655362:QTX655362 RDS655362:RDT655362 RNO655362:RNP655362 RXK655362:RXL655362 SHG655362:SHH655362 SRC655362:SRD655362 TAY655362:TAZ655362 TKU655362:TKV655362 TUQ655362:TUR655362 UEM655362:UEN655362 UOI655362:UOJ655362 UYE655362:UYF655362 VIA655362:VIB655362 VRW655362:VRX655362 WBS655362:WBT655362 WLO655362:WLP655362 WVK655362:WVL655362 C720898:D720898 IY720898:IZ720898 SU720898:SV720898 ACQ720898:ACR720898 AMM720898:AMN720898 AWI720898:AWJ720898 BGE720898:BGF720898 BQA720898:BQB720898 BZW720898:BZX720898 CJS720898:CJT720898 CTO720898:CTP720898 DDK720898:DDL720898 DNG720898:DNH720898 DXC720898:DXD720898 EGY720898:EGZ720898 EQU720898:EQV720898 FAQ720898:FAR720898 FKM720898:FKN720898 FUI720898:FUJ720898 GEE720898:GEF720898 GOA720898:GOB720898 GXW720898:GXX720898 HHS720898:HHT720898 HRO720898:HRP720898 IBK720898:IBL720898 ILG720898:ILH720898 IVC720898:IVD720898 JEY720898:JEZ720898 JOU720898:JOV720898 JYQ720898:JYR720898 KIM720898:KIN720898 KSI720898:KSJ720898 LCE720898:LCF720898 LMA720898:LMB720898 LVW720898:LVX720898 MFS720898:MFT720898 MPO720898:MPP720898 MZK720898:MZL720898 NJG720898:NJH720898 NTC720898:NTD720898 OCY720898:OCZ720898 OMU720898:OMV720898 OWQ720898:OWR720898 PGM720898:PGN720898 PQI720898:PQJ720898 QAE720898:QAF720898 QKA720898:QKB720898 QTW720898:QTX720898 RDS720898:RDT720898 RNO720898:RNP720898 RXK720898:RXL720898 SHG720898:SHH720898 SRC720898:SRD720898 TAY720898:TAZ720898 TKU720898:TKV720898 TUQ720898:TUR720898 UEM720898:UEN720898 UOI720898:UOJ720898 UYE720898:UYF720898 VIA720898:VIB720898 VRW720898:VRX720898 WBS720898:WBT720898 WLO720898:WLP720898 WVK720898:WVL720898 C786434:D786434 IY786434:IZ786434 SU786434:SV786434 ACQ786434:ACR786434 AMM786434:AMN786434 AWI786434:AWJ786434 BGE786434:BGF786434 BQA786434:BQB786434 BZW786434:BZX786434 CJS786434:CJT786434 CTO786434:CTP786434 DDK786434:DDL786434 DNG786434:DNH786434 DXC786434:DXD786434 EGY786434:EGZ786434 EQU786434:EQV786434 FAQ786434:FAR786434 FKM786434:FKN786434 FUI786434:FUJ786434 GEE786434:GEF786434 GOA786434:GOB786434 GXW786434:GXX786434 HHS786434:HHT786434 HRO786434:HRP786434 IBK786434:IBL786434 ILG786434:ILH786434 IVC786434:IVD786434 JEY786434:JEZ786434 JOU786434:JOV786434 JYQ786434:JYR786434 KIM786434:KIN786434 KSI786434:KSJ786434 LCE786434:LCF786434 LMA786434:LMB786434 LVW786434:LVX786434 MFS786434:MFT786434 MPO786434:MPP786434 MZK786434:MZL786434 NJG786434:NJH786434 NTC786434:NTD786434 OCY786434:OCZ786434 OMU786434:OMV786434 OWQ786434:OWR786434 PGM786434:PGN786434 PQI786434:PQJ786434 QAE786434:QAF786434 QKA786434:QKB786434 QTW786434:QTX786434 RDS786434:RDT786434 RNO786434:RNP786434 RXK786434:RXL786434 SHG786434:SHH786434 SRC786434:SRD786434 TAY786434:TAZ786434 TKU786434:TKV786434 TUQ786434:TUR786434 UEM786434:UEN786434 UOI786434:UOJ786434 UYE786434:UYF786434 VIA786434:VIB786434 VRW786434:VRX786434 WBS786434:WBT786434 WLO786434:WLP786434 WVK786434:WVL786434 C851970:D851970 IY851970:IZ851970 SU851970:SV851970 ACQ851970:ACR851970 AMM851970:AMN851970 AWI851970:AWJ851970 BGE851970:BGF851970 BQA851970:BQB851970 BZW851970:BZX851970 CJS851970:CJT851970 CTO851970:CTP851970 DDK851970:DDL851970 DNG851970:DNH851970 DXC851970:DXD851970 EGY851970:EGZ851970 EQU851970:EQV851970 FAQ851970:FAR851970 FKM851970:FKN851970 FUI851970:FUJ851970 GEE851970:GEF851970 GOA851970:GOB851970 GXW851970:GXX851970 HHS851970:HHT851970 HRO851970:HRP851970 IBK851970:IBL851970 ILG851970:ILH851970 IVC851970:IVD851970 JEY851970:JEZ851970 JOU851970:JOV851970 JYQ851970:JYR851970 KIM851970:KIN851970 KSI851970:KSJ851970 LCE851970:LCF851970 LMA851970:LMB851970 LVW851970:LVX851970 MFS851970:MFT851970 MPO851970:MPP851970 MZK851970:MZL851970 NJG851970:NJH851970 NTC851970:NTD851970 OCY851970:OCZ851970 OMU851970:OMV851970 OWQ851970:OWR851970 PGM851970:PGN851970 PQI851970:PQJ851970 QAE851970:QAF851970 QKA851970:QKB851970 QTW851970:QTX851970 RDS851970:RDT851970 RNO851970:RNP851970 RXK851970:RXL851970 SHG851970:SHH851970 SRC851970:SRD851970 TAY851970:TAZ851970 TKU851970:TKV851970 TUQ851970:TUR851970 UEM851970:UEN851970 UOI851970:UOJ851970 UYE851970:UYF851970 VIA851970:VIB851970 VRW851970:VRX851970 WBS851970:WBT851970 WLO851970:WLP851970 WVK851970:WVL851970 C917506:D917506 IY917506:IZ917506 SU917506:SV917506 ACQ917506:ACR917506 AMM917506:AMN917506 AWI917506:AWJ917506 BGE917506:BGF917506 BQA917506:BQB917506 BZW917506:BZX917506 CJS917506:CJT917506 CTO917506:CTP917506 DDK917506:DDL917506 DNG917506:DNH917506 DXC917506:DXD917506 EGY917506:EGZ917506 EQU917506:EQV917506 FAQ917506:FAR917506 FKM917506:FKN917506 FUI917506:FUJ917506 GEE917506:GEF917506 GOA917506:GOB917506 GXW917506:GXX917506 HHS917506:HHT917506 HRO917506:HRP917506 IBK917506:IBL917506 ILG917506:ILH917506 IVC917506:IVD917506 JEY917506:JEZ917506 JOU917506:JOV917506 JYQ917506:JYR917506 KIM917506:KIN917506 KSI917506:KSJ917506 LCE917506:LCF917506 LMA917506:LMB917506 LVW917506:LVX917506 MFS917506:MFT917506 MPO917506:MPP917506 MZK917506:MZL917506 NJG917506:NJH917506 NTC917506:NTD917506 OCY917506:OCZ917506 OMU917506:OMV917506 OWQ917506:OWR917506 PGM917506:PGN917506 PQI917506:PQJ917506 QAE917506:QAF917506 QKA917506:QKB917506 QTW917506:QTX917506 RDS917506:RDT917506 RNO917506:RNP917506 RXK917506:RXL917506 SHG917506:SHH917506 SRC917506:SRD917506 TAY917506:TAZ917506 TKU917506:TKV917506 TUQ917506:TUR917506 UEM917506:UEN917506 UOI917506:UOJ917506 UYE917506:UYF917506 VIA917506:VIB917506 VRW917506:VRX917506 WBS917506:WBT917506 WLO917506:WLP917506 WVK917506:WVL917506 C983042:D983042 IY983042:IZ983042 SU983042:SV983042 ACQ983042:ACR983042 AMM983042:AMN983042 AWI983042:AWJ983042 BGE983042:BGF983042 BQA983042:BQB983042 BZW983042:BZX983042 CJS983042:CJT983042 CTO983042:CTP983042 DDK983042:DDL983042 DNG983042:DNH983042 DXC983042:DXD983042 EGY983042:EGZ983042 EQU983042:EQV983042 FAQ983042:FAR983042 FKM983042:FKN983042 FUI983042:FUJ983042 GEE983042:GEF983042 GOA983042:GOB983042 GXW983042:GXX983042 HHS983042:HHT983042 HRO983042:HRP983042 IBK983042:IBL983042 ILG983042:ILH983042 IVC983042:IVD983042 JEY983042:JEZ983042 JOU983042:JOV983042 JYQ983042:JYR983042 KIM983042:KIN983042 KSI983042:KSJ983042 LCE983042:LCF983042 LMA983042:LMB983042 LVW983042:LVX983042 MFS983042:MFT983042 MPO983042:MPP983042 MZK983042:MZL983042 NJG983042:NJH983042 NTC983042:NTD983042 OCY983042:OCZ983042 OMU983042:OMV983042 OWQ983042:OWR983042 PGM983042:PGN983042 PQI983042:PQJ983042 QAE983042:QAF983042 QKA983042:QKB983042 QTW983042:QTX983042 RDS983042:RDT983042 RNO983042:RNP983042 RXK983042:RXL983042 SHG983042:SHH983042 SRC983042:SRD983042 TAY983042:TAZ983042 TKU983042:TKV983042 TUQ983042:TUR983042 UEM983042:UEN983042 UOI983042:UOJ983042 UYE983042:UYF983042 VIA983042:VIB983042 VRW983042:VRX983042 WBS983042:WBT983042 WLO983042:WLP983042 WVK983042:WVL983042 F65538 F131074 F196610 F262146 F327682 F393218 F458754 F524290 F589826 F655362 F720898 F786434 F851970 F917506" xr:uid="{00000000-0002-0000-0100-000000000000}">
      <formula1>#REF!</formula1>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24:T65524 JL65524:JP65524 TH65524:TL65524 ADD65524:ADH65524 AMZ65524:AND65524 AWV65524:AWZ65524 BGR65524:BGV65524 BQN65524:BQR65524 CAJ65524:CAN65524 CKF65524:CKJ65524 CUB65524:CUF65524 DDX65524:DEB65524 DNT65524:DNX65524 DXP65524:DXT65524 EHL65524:EHP65524 ERH65524:ERL65524 FBD65524:FBH65524 FKZ65524:FLD65524 FUV65524:FUZ65524 GER65524:GEV65524 GON65524:GOR65524 GYJ65524:GYN65524 HIF65524:HIJ65524 HSB65524:HSF65524 IBX65524:ICB65524 ILT65524:ILX65524 IVP65524:IVT65524 JFL65524:JFP65524 JPH65524:JPL65524 JZD65524:JZH65524 KIZ65524:KJD65524 KSV65524:KSZ65524 LCR65524:LCV65524 LMN65524:LMR65524 LWJ65524:LWN65524 MGF65524:MGJ65524 MQB65524:MQF65524 MZX65524:NAB65524 NJT65524:NJX65524 NTP65524:NTT65524 ODL65524:ODP65524 ONH65524:ONL65524 OXD65524:OXH65524 PGZ65524:PHD65524 PQV65524:PQZ65524 QAR65524:QAV65524 QKN65524:QKR65524 QUJ65524:QUN65524 REF65524:REJ65524 ROB65524:ROF65524 RXX65524:RYB65524 SHT65524:SHX65524 SRP65524:SRT65524 TBL65524:TBP65524 TLH65524:TLL65524 TVD65524:TVH65524 UEZ65524:UFD65524 UOV65524:UOZ65524 UYR65524:UYV65524 VIN65524:VIR65524 VSJ65524:VSN65524 WCF65524:WCJ65524 WMB65524:WMF65524 WVX65524:WWB65524 P131060:T131060 JL131060:JP131060 TH131060:TL131060 ADD131060:ADH131060 AMZ131060:AND131060 AWV131060:AWZ131060 BGR131060:BGV131060 BQN131060:BQR131060 CAJ131060:CAN131060 CKF131060:CKJ131060 CUB131060:CUF131060 DDX131060:DEB131060 DNT131060:DNX131060 DXP131060:DXT131060 EHL131060:EHP131060 ERH131060:ERL131060 FBD131060:FBH131060 FKZ131060:FLD131060 FUV131060:FUZ131060 GER131060:GEV131060 GON131060:GOR131060 GYJ131060:GYN131060 HIF131060:HIJ131060 HSB131060:HSF131060 IBX131060:ICB131060 ILT131060:ILX131060 IVP131060:IVT131060 JFL131060:JFP131060 JPH131060:JPL131060 JZD131060:JZH131060 KIZ131060:KJD131060 KSV131060:KSZ131060 LCR131060:LCV131060 LMN131060:LMR131060 LWJ131060:LWN131060 MGF131060:MGJ131060 MQB131060:MQF131060 MZX131060:NAB131060 NJT131060:NJX131060 NTP131060:NTT131060 ODL131060:ODP131060 ONH131060:ONL131060 OXD131060:OXH131060 PGZ131060:PHD131060 PQV131060:PQZ131060 QAR131060:QAV131060 QKN131060:QKR131060 QUJ131060:QUN131060 REF131060:REJ131060 ROB131060:ROF131060 RXX131060:RYB131060 SHT131060:SHX131060 SRP131060:SRT131060 TBL131060:TBP131060 TLH131060:TLL131060 TVD131060:TVH131060 UEZ131060:UFD131060 UOV131060:UOZ131060 UYR131060:UYV131060 VIN131060:VIR131060 VSJ131060:VSN131060 WCF131060:WCJ131060 WMB131060:WMF131060 WVX131060:WWB131060 P196596:T196596 JL196596:JP196596 TH196596:TL196596 ADD196596:ADH196596 AMZ196596:AND196596 AWV196596:AWZ196596 BGR196596:BGV196596 BQN196596:BQR196596 CAJ196596:CAN196596 CKF196596:CKJ196596 CUB196596:CUF196596 DDX196596:DEB196596 DNT196596:DNX196596 DXP196596:DXT196596 EHL196596:EHP196596 ERH196596:ERL196596 FBD196596:FBH196596 FKZ196596:FLD196596 FUV196596:FUZ196596 GER196596:GEV196596 GON196596:GOR196596 GYJ196596:GYN196596 HIF196596:HIJ196596 HSB196596:HSF196596 IBX196596:ICB196596 ILT196596:ILX196596 IVP196596:IVT196596 JFL196596:JFP196596 JPH196596:JPL196596 JZD196596:JZH196596 KIZ196596:KJD196596 KSV196596:KSZ196596 LCR196596:LCV196596 LMN196596:LMR196596 LWJ196596:LWN196596 MGF196596:MGJ196596 MQB196596:MQF196596 MZX196596:NAB196596 NJT196596:NJX196596 NTP196596:NTT196596 ODL196596:ODP196596 ONH196596:ONL196596 OXD196596:OXH196596 PGZ196596:PHD196596 PQV196596:PQZ196596 QAR196596:QAV196596 QKN196596:QKR196596 QUJ196596:QUN196596 REF196596:REJ196596 ROB196596:ROF196596 RXX196596:RYB196596 SHT196596:SHX196596 SRP196596:SRT196596 TBL196596:TBP196596 TLH196596:TLL196596 TVD196596:TVH196596 UEZ196596:UFD196596 UOV196596:UOZ196596 UYR196596:UYV196596 VIN196596:VIR196596 VSJ196596:VSN196596 WCF196596:WCJ196596 WMB196596:WMF196596 WVX196596:WWB196596 P262132:T262132 JL262132:JP262132 TH262132:TL262132 ADD262132:ADH262132 AMZ262132:AND262132 AWV262132:AWZ262132 BGR262132:BGV262132 BQN262132:BQR262132 CAJ262132:CAN262132 CKF262132:CKJ262132 CUB262132:CUF262132 DDX262132:DEB262132 DNT262132:DNX262132 DXP262132:DXT262132 EHL262132:EHP262132 ERH262132:ERL262132 FBD262132:FBH262132 FKZ262132:FLD262132 FUV262132:FUZ262132 GER262132:GEV262132 GON262132:GOR262132 GYJ262132:GYN262132 HIF262132:HIJ262132 HSB262132:HSF262132 IBX262132:ICB262132 ILT262132:ILX262132 IVP262132:IVT262132 JFL262132:JFP262132 JPH262132:JPL262132 JZD262132:JZH262132 KIZ262132:KJD262132 KSV262132:KSZ262132 LCR262132:LCV262132 LMN262132:LMR262132 LWJ262132:LWN262132 MGF262132:MGJ262132 MQB262132:MQF262132 MZX262132:NAB262132 NJT262132:NJX262132 NTP262132:NTT262132 ODL262132:ODP262132 ONH262132:ONL262132 OXD262132:OXH262132 PGZ262132:PHD262132 PQV262132:PQZ262132 QAR262132:QAV262132 QKN262132:QKR262132 QUJ262132:QUN262132 REF262132:REJ262132 ROB262132:ROF262132 RXX262132:RYB262132 SHT262132:SHX262132 SRP262132:SRT262132 TBL262132:TBP262132 TLH262132:TLL262132 TVD262132:TVH262132 UEZ262132:UFD262132 UOV262132:UOZ262132 UYR262132:UYV262132 VIN262132:VIR262132 VSJ262132:VSN262132 WCF262132:WCJ262132 WMB262132:WMF262132 WVX262132:WWB262132 P327668:T327668 JL327668:JP327668 TH327668:TL327668 ADD327668:ADH327668 AMZ327668:AND327668 AWV327668:AWZ327668 BGR327668:BGV327668 BQN327668:BQR327668 CAJ327668:CAN327668 CKF327668:CKJ327668 CUB327668:CUF327668 DDX327668:DEB327668 DNT327668:DNX327668 DXP327668:DXT327668 EHL327668:EHP327668 ERH327668:ERL327668 FBD327668:FBH327668 FKZ327668:FLD327668 FUV327668:FUZ327668 GER327668:GEV327668 GON327668:GOR327668 GYJ327668:GYN327668 HIF327668:HIJ327668 HSB327668:HSF327668 IBX327668:ICB327668 ILT327668:ILX327668 IVP327668:IVT327668 JFL327668:JFP327668 JPH327668:JPL327668 JZD327668:JZH327668 KIZ327668:KJD327668 KSV327668:KSZ327668 LCR327668:LCV327668 LMN327668:LMR327668 LWJ327668:LWN327668 MGF327668:MGJ327668 MQB327668:MQF327668 MZX327668:NAB327668 NJT327668:NJX327668 NTP327668:NTT327668 ODL327668:ODP327668 ONH327668:ONL327668 OXD327668:OXH327668 PGZ327668:PHD327668 PQV327668:PQZ327668 QAR327668:QAV327668 QKN327668:QKR327668 QUJ327668:QUN327668 REF327668:REJ327668 ROB327668:ROF327668 RXX327668:RYB327668 SHT327668:SHX327668 SRP327668:SRT327668 TBL327668:TBP327668 TLH327668:TLL327668 TVD327668:TVH327668 UEZ327668:UFD327668 UOV327668:UOZ327668 UYR327668:UYV327668 VIN327668:VIR327668 VSJ327668:VSN327668 WCF327668:WCJ327668 WMB327668:WMF327668 WVX327668:WWB327668 P393204:T393204 JL393204:JP393204 TH393204:TL393204 ADD393204:ADH393204 AMZ393204:AND393204 AWV393204:AWZ393204 BGR393204:BGV393204 BQN393204:BQR393204 CAJ393204:CAN393204 CKF393204:CKJ393204 CUB393204:CUF393204 DDX393204:DEB393204 DNT393204:DNX393204 DXP393204:DXT393204 EHL393204:EHP393204 ERH393204:ERL393204 FBD393204:FBH393204 FKZ393204:FLD393204 FUV393204:FUZ393204 GER393204:GEV393204 GON393204:GOR393204 GYJ393204:GYN393204 HIF393204:HIJ393204 HSB393204:HSF393204 IBX393204:ICB393204 ILT393204:ILX393204 IVP393204:IVT393204 JFL393204:JFP393204 JPH393204:JPL393204 JZD393204:JZH393204 KIZ393204:KJD393204 KSV393204:KSZ393204 LCR393204:LCV393204 LMN393204:LMR393204 LWJ393204:LWN393204 MGF393204:MGJ393204 MQB393204:MQF393204 MZX393204:NAB393204 NJT393204:NJX393204 NTP393204:NTT393204 ODL393204:ODP393204 ONH393204:ONL393204 OXD393204:OXH393204 PGZ393204:PHD393204 PQV393204:PQZ393204 QAR393204:QAV393204 QKN393204:QKR393204 QUJ393204:QUN393204 REF393204:REJ393204 ROB393204:ROF393204 RXX393204:RYB393204 SHT393204:SHX393204 SRP393204:SRT393204 TBL393204:TBP393204 TLH393204:TLL393204 TVD393204:TVH393204 UEZ393204:UFD393204 UOV393204:UOZ393204 UYR393204:UYV393204 VIN393204:VIR393204 VSJ393204:VSN393204 WCF393204:WCJ393204 WMB393204:WMF393204 WVX393204:WWB393204 P458740:T458740 JL458740:JP458740 TH458740:TL458740 ADD458740:ADH458740 AMZ458740:AND458740 AWV458740:AWZ458740 BGR458740:BGV458740 BQN458740:BQR458740 CAJ458740:CAN458740 CKF458740:CKJ458740 CUB458740:CUF458740 DDX458740:DEB458740 DNT458740:DNX458740 DXP458740:DXT458740 EHL458740:EHP458740 ERH458740:ERL458740 FBD458740:FBH458740 FKZ458740:FLD458740 FUV458740:FUZ458740 GER458740:GEV458740 GON458740:GOR458740 GYJ458740:GYN458740 HIF458740:HIJ458740 HSB458740:HSF458740 IBX458740:ICB458740 ILT458740:ILX458740 IVP458740:IVT458740 JFL458740:JFP458740 JPH458740:JPL458740 JZD458740:JZH458740 KIZ458740:KJD458740 KSV458740:KSZ458740 LCR458740:LCV458740 LMN458740:LMR458740 LWJ458740:LWN458740 MGF458740:MGJ458740 MQB458740:MQF458740 MZX458740:NAB458740 NJT458740:NJX458740 NTP458740:NTT458740 ODL458740:ODP458740 ONH458740:ONL458740 OXD458740:OXH458740 PGZ458740:PHD458740 PQV458740:PQZ458740 QAR458740:QAV458740 QKN458740:QKR458740 QUJ458740:QUN458740 REF458740:REJ458740 ROB458740:ROF458740 RXX458740:RYB458740 SHT458740:SHX458740 SRP458740:SRT458740 TBL458740:TBP458740 TLH458740:TLL458740 TVD458740:TVH458740 UEZ458740:UFD458740 UOV458740:UOZ458740 UYR458740:UYV458740 VIN458740:VIR458740 VSJ458740:VSN458740 WCF458740:WCJ458740 WMB458740:WMF458740 WVX458740:WWB458740 P524276:T524276 JL524276:JP524276 TH524276:TL524276 ADD524276:ADH524276 AMZ524276:AND524276 AWV524276:AWZ524276 BGR524276:BGV524276 BQN524276:BQR524276 CAJ524276:CAN524276 CKF524276:CKJ524276 CUB524276:CUF524276 DDX524276:DEB524276 DNT524276:DNX524276 DXP524276:DXT524276 EHL524276:EHP524276 ERH524276:ERL524276 FBD524276:FBH524276 FKZ524276:FLD524276 FUV524276:FUZ524276 GER524276:GEV524276 GON524276:GOR524276 GYJ524276:GYN524276 HIF524276:HIJ524276 HSB524276:HSF524276 IBX524276:ICB524276 ILT524276:ILX524276 IVP524276:IVT524276 JFL524276:JFP524276 JPH524276:JPL524276 JZD524276:JZH524276 KIZ524276:KJD524276 KSV524276:KSZ524276 LCR524276:LCV524276 LMN524276:LMR524276 LWJ524276:LWN524276 MGF524276:MGJ524276 MQB524276:MQF524276 MZX524276:NAB524276 NJT524276:NJX524276 NTP524276:NTT524276 ODL524276:ODP524276 ONH524276:ONL524276 OXD524276:OXH524276 PGZ524276:PHD524276 PQV524276:PQZ524276 QAR524276:QAV524276 QKN524276:QKR524276 QUJ524276:QUN524276 REF524276:REJ524276 ROB524276:ROF524276 RXX524276:RYB524276 SHT524276:SHX524276 SRP524276:SRT524276 TBL524276:TBP524276 TLH524276:TLL524276 TVD524276:TVH524276 UEZ524276:UFD524276 UOV524276:UOZ524276 UYR524276:UYV524276 VIN524276:VIR524276 VSJ524276:VSN524276 WCF524276:WCJ524276 WMB524276:WMF524276 WVX524276:WWB524276 P589812:T589812 JL589812:JP589812 TH589812:TL589812 ADD589812:ADH589812 AMZ589812:AND589812 AWV589812:AWZ589812 BGR589812:BGV589812 BQN589812:BQR589812 CAJ589812:CAN589812 CKF589812:CKJ589812 CUB589812:CUF589812 DDX589812:DEB589812 DNT589812:DNX589812 DXP589812:DXT589812 EHL589812:EHP589812 ERH589812:ERL589812 FBD589812:FBH589812 FKZ589812:FLD589812 FUV589812:FUZ589812 GER589812:GEV589812 GON589812:GOR589812 GYJ589812:GYN589812 HIF589812:HIJ589812 HSB589812:HSF589812 IBX589812:ICB589812 ILT589812:ILX589812 IVP589812:IVT589812 JFL589812:JFP589812 JPH589812:JPL589812 JZD589812:JZH589812 KIZ589812:KJD589812 KSV589812:KSZ589812 LCR589812:LCV589812 LMN589812:LMR589812 LWJ589812:LWN589812 MGF589812:MGJ589812 MQB589812:MQF589812 MZX589812:NAB589812 NJT589812:NJX589812 NTP589812:NTT589812 ODL589812:ODP589812 ONH589812:ONL589812 OXD589812:OXH589812 PGZ589812:PHD589812 PQV589812:PQZ589812 QAR589812:QAV589812 QKN589812:QKR589812 QUJ589812:QUN589812 REF589812:REJ589812 ROB589812:ROF589812 RXX589812:RYB589812 SHT589812:SHX589812 SRP589812:SRT589812 TBL589812:TBP589812 TLH589812:TLL589812 TVD589812:TVH589812 UEZ589812:UFD589812 UOV589812:UOZ589812 UYR589812:UYV589812 VIN589812:VIR589812 VSJ589812:VSN589812 WCF589812:WCJ589812 WMB589812:WMF589812 WVX589812:WWB589812 P655348:T655348 JL655348:JP655348 TH655348:TL655348 ADD655348:ADH655348 AMZ655348:AND655348 AWV655348:AWZ655348 BGR655348:BGV655348 BQN655348:BQR655348 CAJ655348:CAN655348 CKF655348:CKJ655348 CUB655348:CUF655348 DDX655348:DEB655348 DNT655348:DNX655348 DXP655348:DXT655348 EHL655348:EHP655348 ERH655348:ERL655348 FBD655348:FBH655348 FKZ655348:FLD655348 FUV655348:FUZ655348 GER655348:GEV655348 GON655348:GOR655348 GYJ655348:GYN655348 HIF655348:HIJ655348 HSB655348:HSF655348 IBX655348:ICB655348 ILT655348:ILX655348 IVP655348:IVT655348 JFL655348:JFP655348 JPH655348:JPL655348 JZD655348:JZH655348 KIZ655348:KJD655348 KSV655348:KSZ655348 LCR655348:LCV655348 LMN655348:LMR655348 LWJ655348:LWN655348 MGF655348:MGJ655348 MQB655348:MQF655348 MZX655348:NAB655348 NJT655348:NJX655348 NTP655348:NTT655348 ODL655348:ODP655348 ONH655348:ONL655348 OXD655348:OXH655348 PGZ655348:PHD655348 PQV655348:PQZ655348 QAR655348:QAV655348 QKN655348:QKR655348 QUJ655348:QUN655348 REF655348:REJ655348 ROB655348:ROF655348 RXX655348:RYB655348 SHT655348:SHX655348 SRP655348:SRT655348 TBL655348:TBP655348 TLH655348:TLL655348 TVD655348:TVH655348 UEZ655348:UFD655348 UOV655348:UOZ655348 UYR655348:UYV655348 VIN655348:VIR655348 VSJ655348:VSN655348 WCF655348:WCJ655348 WMB655348:WMF655348 WVX655348:WWB655348 P720884:T720884 JL720884:JP720884 TH720884:TL720884 ADD720884:ADH720884 AMZ720884:AND720884 AWV720884:AWZ720884 BGR720884:BGV720884 BQN720884:BQR720884 CAJ720884:CAN720884 CKF720884:CKJ720884 CUB720884:CUF720884 DDX720884:DEB720884 DNT720884:DNX720884 DXP720884:DXT720884 EHL720884:EHP720884 ERH720884:ERL720884 FBD720884:FBH720884 FKZ720884:FLD720884 FUV720884:FUZ720884 GER720884:GEV720884 GON720884:GOR720884 GYJ720884:GYN720884 HIF720884:HIJ720884 HSB720884:HSF720884 IBX720884:ICB720884 ILT720884:ILX720884 IVP720884:IVT720884 JFL720884:JFP720884 JPH720884:JPL720884 JZD720884:JZH720884 KIZ720884:KJD720884 KSV720884:KSZ720884 LCR720884:LCV720884 LMN720884:LMR720884 LWJ720884:LWN720884 MGF720884:MGJ720884 MQB720884:MQF720884 MZX720884:NAB720884 NJT720884:NJX720884 NTP720884:NTT720884 ODL720884:ODP720884 ONH720884:ONL720884 OXD720884:OXH720884 PGZ720884:PHD720884 PQV720884:PQZ720884 QAR720884:QAV720884 QKN720884:QKR720884 QUJ720884:QUN720884 REF720884:REJ720884 ROB720884:ROF720884 RXX720884:RYB720884 SHT720884:SHX720884 SRP720884:SRT720884 TBL720884:TBP720884 TLH720884:TLL720884 TVD720884:TVH720884 UEZ720884:UFD720884 UOV720884:UOZ720884 UYR720884:UYV720884 VIN720884:VIR720884 VSJ720884:VSN720884 WCF720884:WCJ720884 WMB720884:WMF720884 WVX720884:WWB720884 P786420:T786420 JL786420:JP786420 TH786420:TL786420 ADD786420:ADH786420 AMZ786420:AND786420 AWV786420:AWZ786420 BGR786420:BGV786420 BQN786420:BQR786420 CAJ786420:CAN786420 CKF786420:CKJ786420 CUB786420:CUF786420 DDX786420:DEB786420 DNT786420:DNX786420 DXP786420:DXT786420 EHL786420:EHP786420 ERH786420:ERL786420 FBD786420:FBH786420 FKZ786420:FLD786420 FUV786420:FUZ786420 GER786420:GEV786420 GON786420:GOR786420 GYJ786420:GYN786420 HIF786420:HIJ786420 HSB786420:HSF786420 IBX786420:ICB786420 ILT786420:ILX786420 IVP786420:IVT786420 JFL786420:JFP786420 JPH786420:JPL786420 JZD786420:JZH786420 KIZ786420:KJD786420 KSV786420:KSZ786420 LCR786420:LCV786420 LMN786420:LMR786420 LWJ786420:LWN786420 MGF786420:MGJ786420 MQB786420:MQF786420 MZX786420:NAB786420 NJT786420:NJX786420 NTP786420:NTT786420 ODL786420:ODP786420 ONH786420:ONL786420 OXD786420:OXH786420 PGZ786420:PHD786420 PQV786420:PQZ786420 QAR786420:QAV786420 QKN786420:QKR786420 QUJ786420:QUN786420 REF786420:REJ786420 ROB786420:ROF786420 RXX786420:RYB786420 SHT786420:SHX786420 SRP786420:SRT786420 TBL786420:TBP786420 TLH786420:TLL786420 TVD786420:TVH786420 UEZ786420:UFD786420 UOV786420:UOZ786420 UYR786420:UYV786420 VIN786420:VIR786420 VSJ786420:VSN786420 WCF786420:WCJ786420 WMB786420:WMF786420 WVX786420:WWB786420 P851956:T851956 JL851956:JP851956 TH851956:TL851956 ADD851956:ADH851956 AMZ851956:AND851956 AWV851956:AWZ851956 BGR851956:BGV851956 BQN851956:BQR851956 CAJ851956:CAN851956 CKF851956:CKJ851956 CUB851956:CUF851956 DDX851956:DEB851956 DNT851956:DNX851956 DXP851956:DXT851956 EHL851956:EHP851956 ERH851956:ERL851956 FBD851956:FBH851956 FKZ851956:FLD851956 FUV851956:FUZ851956 GER851956:GEV851956 GON851956:GOR851956 GYJ851956:GYN851956 HIF851956:HIJ851956 HSB851956:HSF851956 IBX851956:ICB851956 ILT851956:ILX851956 IVP851956:IVT851956 JFL851956:JFP851956 JPH851956:JPL851956 JZD851956:JZH851956 KIZ851956:KJD851956 KSV851956:KSZ851956 LCR851956:LCV851956 LMN851956:LMR851956 LWJ851956:LWN851956 MGF851956:MGJ851956 MQB851956:MQF851956 MZX851956:NAB851956 NJT851956:NJX851956 NTP851956:NTT851956 ODL851956:ODP851956 ONH851956:ONL851956 OXD851956:OXH851956 PGZ851956:PHD851956 PQV851956:PQZ851956 QAR851956:QAV851956 QKN851956:QKR851956 QUJ851956:QUN851956 REF851956:REJ851956 ROB851956:ROF851956 RXX851956:RYB851956 SHT851956:SHX851956 SRP851956:SRT851956 TBL851956:TBP851956 TLH851956:TLL851956 TVD851956:TVH851956 UEZ851956:UFD851956 UOV851956:UOZ851956 UYR851956:UYV851956 VIN851956:VIR851956 VSJ851956:VSN851956 WCF851956:WCJ851956 WMB851956:WMF851956 WVX851956:WWB851956 P917492:T917492 JL917492:JP917492 TH917492:TL917492 ADD917492:ADH917492 AMZ917492:AND917492 AWV917492:AWZ917492 BGR917492:BGV917492 BQN917492:BQR917492 CAJ917492:CAN917492 CKF917492:CKJ917492 CUB917492:CUF917492 DDX917492:DEB917492 DNT917492:DNX917492 DXP917492:DXT917492 EHL917492:EHP917492 ERH917492:ERL917492 FBD917492:FBH917492 FKZ917492:FLD917492 FUV917492:FUZ917492 GER917492:GEV917492 GON917492:GOR917492 GYJ917492:GYN917492 HIF917492:HIJ917492 HSB917492:HSF917492 IBX917492:ICB917492 ILT917492:ILX917492 IVP917492:IVT917492 JFL917492:JFP917492 JPH917492:JPL917492 JZD917492:JZH917492 KIZ917492:KJD917492 KSV917492:KSZ917492 LCR917492:LCV917492 LMN917492:LMR917492 LWJ917492:LWN917492 MGF917492:MGJ917492 MQB917492:MQF917492 MZX917492:NAB917492 NJT917492:NJX917492 NTP917492:NTT917492 ODL917492:ODP917492 ONH917492:ONL917492 OXD917492:OXH917492 PGZ917492:PHD917492 PQV917492:PQZ917492 QAR917492:QAV917492 QKN917492:QKR917492 QUJ917492:QUN917492 REF917492:REJ917492 ROB917492:ROF917492 RXX917492:RYB917492 SHT917492:SHX917492 SRP917492:SRT917492 TBL917492:TBP917492 TLH917492:TLL917492 TVD917492:TVH917492 UEZ917492:UFD917492 UOV917492:UOZ917492 UYR917492:UYV917492 VIN917492:VIR917492 VSJ917492:VSN917492 WCF917492:WCJ917492 WMB917492:WMF917492 WVX917492:WWB917492 P983028:T983028 JL983028:JP983028 TH983028:TL983028 ADD983028:ADH983028 AMZ983028:AND983028 AWV983028:AWZ983028 BGR983028:BGV983028 BQN983028:BQR983028 CAJ983028:CAN983028 CKF983028:CKJ983028 CUB983028:CUF983028 DDX983028:DEB983028 DNT983028:DNX983028 DXP983028:DXT983028 EHL983028:EHP983028 ERH983028:ERL983028 FBD983028:FBH983028 FKZ983028:FLD983028 FUV983028:FUZ983028 GER983028:GEV983028 GON983028:GOR983028 GYJ983028:GYN983028 HIF983028:HIJ983028 HSB983028:HSF983028 IBX983028:ICB983028 ILT983028:ILX983028 IVP983028:IVT983028 JFL983028:JFP983028 JPH983028:JPL983028 JZD983028:JZH983028 KIZ983028:KJD983028 KSV983028:KSZ983028 LCR983028:LCV983028 LMN983028:LMR983028 LWJ983028:LWN983028 MGF983028:MGJ983028 MQB983028:MQF983028 MZX983028:NAB983028 NJT983028:NJX983028 NTP983028:NTT983028 ODL983028:ODP983028 ONH983028:ONL983028 OXD983028:OXH983028 PGZ983028:PHD983028 PQV983028:PQZ983028 QAR983028:QAV983028 QKN983028:QKR983028 QUJ983028:QUN983028 REF983028:REJ983028 ROB983028:ROF983028 RXX983028:RYB983028 SHT983028:SHX983028 SRP983028:SRT983028 TBL983028:TBP983028 TLH983028:TLL983028 TVD983028:TVH983028 UEZ983028:UFD983028 UOV983028:UOZ983028 UYR983028:UYV983028 VIN983028:VIR983028 VSJ983028:VSN983028 WCF983028:WCJ983028 WMB983028:WMF983028 WVX983028:WWB983028 H65522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58 JC65522:JD65522 SY65522:SZ65522 ACU65522:ACV65522 AMQ65522:AMR65522 AWM65522:AWN65522 BGI65522:BGJ65522 BQE65522:BQF65522 CAA65522:CAB65522 CJW65522:CJX65522 CTS65522:CTT65522 DDO65522:DDP65522 DNK65522:DNL65522 DXG65522:DXH65522 EHC65522:EHD65522 EQY65522:EQZ65522 FAU65522:FAV65522 FKQ65522:FKR65522 FUM65522:FUN65522 GEI65522:GEJ65522 GOE65522:GOF65522 GYA65522:GYB65522 HHW65522:HHX65522 HRS65522:HRT65522 IBO65522:IBP65522 ILK65522:ILL65522 IVG65522:IVH65522 JFC65522:JFD65522 JOY65522:JOZ65522 JYU65522:JYV65522 KIQ65522:KIR65522 KSM65522:KSN65522 LCI65522:LCJ65522 LME65522:LMF65522 LWA65522:LWB65522 MFW65522:MFX65522 MPS65522:MPT65522 MZO65522:MZP65522 NJK65522:NJL65522 NTG65522:NTH65522 ODC65522:ODD65522 OMY65522:OMZ65522 OWU65522:OWV65522 PGQ65522:PGR65522 PQM65522:PQN65522 QAI65522:QAJ65522 QKE65522:QKF65522 QUA65522:QUB65522 RDW65522:RDX65522 RNS65522:RNT65522 RXO65522:RXP65522 SHK65522:SHL65522 SRG65522:SRH65522 TBC65522:TBD65522 TKY65522:TKZ65522 TUU65522:TUV65522 UEQ65522:UER65522 UOM65522:UON65522 UYI65522:UYJ65522 VIE65522:VIF65522 VSA65522:VSB65522 WBW65522:WBX65522 WLS65522:WLT65522 WVO65522:WVP65522 H196594 JC131058:JD131058 SY131058:SZ131058 ACU131058:ACV131058 AMQ131058:AMR131058 AWM131058:AWN131058 BGI131058:BGJ131058 BQE131058:BQF131058 CAA131058:CAB131058 CJW131058:CJX131058 CTS131058:CTT131058 DDO131058:DDP131058 DNK131058:DNL131058 DXG131058:DXH131058 EHC131058:EHD131058 EQY131058:EQZ131058 FAU131058:FAV131058 FKQ131058:FKR131058 FUM131058:FUN131058 GEI131058:GEJ131058 GOE131058:GOF131058 GYA131058:GYB131058 HHW131058:HHX131058 HRS131058:HRT131058 IBO131058:IBP131058 ILK131058:ILL131058 IVG131058:IVH131058 JFC131058:JFD131058 JOY131058:JOZ131058 JYU131058:JYV131058 KIQ131058:KIR131058 KSM131058:KSN131058 LCI131058:LCJ131058 LME131058:LMF131058 LWA131058:LWB131058 MFW131058:MFX131058 MPS131058:MPT131058 MZO131058:MZP131058 NJK131058:NJL131058 NTG131058:NTH131058 ODC131058:ODD131058 OMY131058:OMZ131058 OWU131058:OWV131058 PGQ131058:PGR131058 PQM131058:PQN131058 QAI131058:QAJ131058 QKE131058:QKF131058 QUA131058:QUB131058 RDW131058:RDX131058 RNS131058:RNT131058 RXO131058:RXP131058 SHK131058:SHL131058 SRG131058:SRH131058 TBC131058:TBD131058 TKY131058:TKZ131058 TUU131058:TUV131058 UEQ131058:UER131058 UOM131058:UON131058 UYI131058:UYJ131058 VIE131058:VIF131058 VSA131058:VSB131058 WBW131058:WBX131058 WLS131058:WLT131058 WVO131058:WVP131058 H262130 JC196594:JD196594 SY196594:SZ196594 ACU196594:ACV196594 AMQ196594:AMR196594 AWM196594:AWN196594 BGI196594:BGJ196594 BQE196594:BQF196594 CAA196594:CAB196594 CJW196594:CJX196594 CTS196594:CTT196594 DDO196594:DDP196594 DNK196594:DNL196594 DXG196594:DXH196594 EHC196594:EHD196594 EQY196594:EQZ196594 FAU196594:FAV196594 FKQ196594:FKR196594 FUM196594:FUN196594 GEI196594:GEJ196594 GOE196594:GOF196594 GYA196594:GYB196594 HHW196594:HHX196594 HRS196594:HRT196594 IBO196594:IBP196594 ILK196594:ILL196594 IVG196594:IVH196594 JFC196594:JFD196594 JOY196594:JOZ196594 JYU196594:JYV196594 KIQ196594:KIR196594 KSM196594:KSN196594 LCI196594:LCJ196594 LME196594:LMF196594 LWA196594:LWB196594 MFW196594:MFX196594 MPS196594:MPT196594 MZO196594:MZP196594 NJK196594:NJL196594 NTG196594:NTH196594 ODC196594:ODD196594 OMY196594:OMZ196594 OWU196594:OWV196594 PGQ196594:PGR196594 PQM196594:PQN196594 QAI196594:QAJ196594 QKE196594:QKF196594 QUA196594:QUB196594 RDW196594:RDX196594 RNS196594:RNT196594 RXO196594:RXP196594 SHK196594:SHL196594 SRG196594:SRH196594 TBC196594:TBD196594 TKY196594:TKZ196594 TUU196594:TUV196594 UEQ196594:UER196594 UOM196594:UON196594 UYI196594:UYJ196594 VIE196594:VIF196594 VSA196594:VSB196594 WBW196594:WBX196594 WLS196594:WLT196594 WVO196594:WVP196594 H327666 JC262130:JD262130 SY262130:SZ262130 ACU262130:ACV262130 AMQ262130:AMR262130 AWM262130:AWN262130 BGI262130:BGJ262130 BQE262130:BQF262130 CAA262130:CAB262130 CJW262130:CJX262130 CTS262130:CTT262130 DDO262130:DDP262130 DNK262130:DNL262130 DXG262130:DXH262130 EHC262130:EHD262130 EQY262130:EQZ262130 FAU262130:FAV262130 FKQ262130:FKR262130 FUM262130:FUN262130 GEI262130:GEJ262130 GOE262130:GOF262130 GYA262130:GYB262130 HHW262130:HHX262130 HRS262130:HRT262130 IBO262130:IBP262130 ILK262130:ILL262130 IVG262130:IVH262130 JFC262130:JFD262130 JOY262130:JOZ262130 JYU262130:JYV262130 KIQ262130:KIR262130 KSM262130:KSN262130 LCI262130:LCJ262130 LME262130:LMF262130 LWA262130:LWB262130 MFW262130:MFX262130 MPS262130:MPT262130 MZO262130:MZP262130 NJK262130:NJL262130 NTG262130:NTH262130 ODC262130:ODD262130 OMY262130:OMZ262130 OWU262130:OWV262130 PGQ262130:PGR262130 PQM262130:PQN262130 QAI262130:QAJ262130 QKE262130:QKF262130 QUA262130:QUB262130 RDW262130:RDX262130 RNS262130:RNT262130 RXO262130:RXP262130 SHK262130:SHL262130 SRG262130:SRH262130 TBC262130:TBD262130 TKY262130:TKZ262130 TUU262130:TUV262130 UEQ262130:UER262130 UOM262130:UON262130 UYI262130:UYJ262130 VIE262130:VIF262130 VSA262130:VSB262130 WBW262130:WBX262130 WLS262130:WLT262130 WVO262130:WVP262130 H393202 JC327666:JD327666 SY327666:SZ327666 ACU327666:ACV327666 AMQ327666:AMR327666 AWM327666:AWN327666 BGI327666:BGJ327666 BQE327666:BQF327666 CAA327666:CAB327666 CJW327666:CJX327666 CTS327666:CTT327666 DDO327666:DDP327666 DNK327666:DNL327666 DXG327666:DXH327666 EHC327666:EHD327666 EQY327666:EQZ327666 FAU327666:FAV327666 FKQ327666:FKR327666 FUM327666:FUN327666 GEI327666:GEJ327666 GOE327666:GOF327666 GYA327666:GYB327666 HHW327666:HHX327666 HRS327666:HRT327666 IBO327666:IBP327666 ILK327666:ILL327666 IVG327666:IVH327666 JFC327666:JFD327666 JOY327666:JOZ327666 JYU327666:JYV327666 KIQ327666:KIR327666 KSM327666:KSN327666 LCI327666:LCJ327666 LME327666:LMF327666 LWA327666:LWB327666 MFW327666:MFX327666 MPS327666:MPT327666 MZO327666:MZP327666 NJK327666:NJL327666 NTG327666:NTH327666 ODC327666:ODD327666 OMY327666:OMZ327666 OWU327666:OWV327666 PGQ327666:PGR327666 PQM327666:PQN327666 QAI327666:QAJ327666 QKE327666:QKF327666 QUA327666:QUB327666 RDW327666:RDX327666 RNS327666:RNT327666 RXO327666:RXP327666 SHK327666:SHL327666 SRG327666:SRH327666 TBC327666:TBD327666 TKY327666:TKZ327666 TUU327666:TUV327666 UEQ327666:UER327666 UOM327666:UON327666 UYI327666:UYJ327666 VIE327666:VIF327666 VSA327666:VSB327666 WBW327666:WBX327666 WLS327666:WLT327666 WVO327666:WVP327666 H458738 JC393202:JD393202 SY393202:SZ393202 ACU393202:ACV393202 AMQ393202:AMR393202 AWM393202:AWN393202 BGI393202:BGJ393202 BQE393202:BQF393202 CAA393202:CAB393202 CJW393202:CJX393202 CTS393202:CTT393202 DDO393202:DDP393202 DNK393202:DNL393202 DXG393202:DXH393202 EHC393202:EHD393202 EQY393202:EQZ393202 FAU393202:FAV393202 FKQ393202:FKR393202 FUM393202:FUN393202 GEI393202:GEJ393202 GOE393202:GOF393202 GYA393202:GYB393202 HHW393202:HHX393202 HRS393202:HRT393202 IBO393202:IBP393202 ILK393202:ILL393202 IVG393202:IVH393202 JFC393202:JFD393202 JOY393202:JOZ393202 JYU393202:JYV393202 KIQ393202:KIR393202 KSM393202:KSN393202 LCI393202:LCJ393202 LME393202:LMF393202 LWA393202:LWB393202 MFW393202:MFX393202 MPS393202:MPT393202 MZO393202:MZP393202 NJK393202:NJL393202 NTG393202:NTH393202 ODC393202:ODD393202 OMY393202:OMZ393202 OWU393202:OWV393202 PGQ393202:PGR393202 PQM393202:PQN393202 QAI393202:QAJ393202 QKE393202:QKF393202 QUA393202:QUB393202 RDW393202:RDX393202 RNS393202:RNT393202 RXO393202:RXP393202 SHK393202:SHL393202 SRG393202:SRH393202 TBC393202:TBD393202 TKY393202:TKZ393202 TUU393202:TUV393202 UEQ393202:UER393202 UOM393202:UON393202 UYI393202:UYJ393202 VIE393202:VIF393202 VSA393202:VSB393202 WBW393202:WBX393202 WLS393202:WLT393202 WVO393202:WVP393202 H524274 JC458738:JD458738 SY458738:SZ458738 ACU458738:ACV458738 AMQ458738:AMR458738 AWM458738:AWN458738 BGI458738:BGJ458738 BQE458738:BQF458738 CAA458738:CAB458738 CJW458738:CJX458738 CTS458738:CTT458738 DDO458738:DDP458738 DNK458738:DNL458738 DXG458738:DXH458738 EHC458738:EHD458738 EQY458738:EQZ458738 FAU458738:FAV458738 FKQ458738:FKR458738 FUM458738:FUN458738 GEI458738:GEJ458738 GOE458738:GOF458738 GYA458738:GYB458738 HHW458738:HHX458738 HRS458738:HRT458738 IBO458738:IBP458738 ILK458738:ILL458738 IVG458738:IVH458738 JFC458738:JFD458738 JOY458738:JOZ458738 JYU458738:JYV458738 KIQ458738:KIR458738 KSM458738:KSN458738 LCI458738:LCJ458738 LME458738:LMF458738 LWA458738:LWB458738 MFW458738:MFX458738 MPS458738:MPT458738 MZO458738:MZP458738 NJK458738:NJL458738 NTG458738:NTH458738 ODC458738:ODD458738 OMY458738:OMZ458738 OWU458738:OWV458738 PGQ458738:PGR458738 PQM458738:PQN458738 QAI458738:QAJ458738 QKE458738:QKF458738 QUA458738:QUB458738 RDW458738:RDX458738 RNS458738:RNT458738 RXO458738:RXP458738 SHK458738:SHL458738 SRG458738:SRH458738 TBC458738:TBD458738 TKY458738:TKZ458738 TUU458738:TUV458738 UEQ458738:UER458738 UOM458738:UON458738 UYI458738:UYJ458738 VIE458738:VIF458738 VSA458738:VSB458738 WBW458738:WBX458738 WLS458738:WLT458738 WVO458738:WVP458738 H589810 JC524274:JD524274 SY524274:SZ524274 ACU524274:ACV524274 AMQ524274:AMR524274 AWM524274:AWN524274 BGI524274:BGJ524274 BQE524274:BQF524274 CAA524274:CAB524274 CJW524274:CJX524274 CTS524274:CTT524274 DDO524274:DDP524274 DNK524274:DNL524274 DXG524274:DXH524274 EHC524274:EHD524274 EQY524274:EQZ524274 FAU524274:FAV524274 FKQ524274:FKR524274 FUM524274:FUN524274 GEI524274:GEJ524274 GOE524274:GOF524274 GYA524274:GYB524274 HHW524274:HHX524274 HRS524274:HRT524274 IBO524274:IBP524274 ILK524274:ILL524274 IVG524274:IVH524274 JFC524274:JFD524274 JOY524274:JOZ524274 JYU524274:JYV524274 KIQ524274:KIR524274 KSM524274:KSN524274 LCI524274:LCJ524274 LME524274:LMF524274 LWA524274:LWB524274 MFW524274:MFX524274 MPS524274:MPT524274 MZO524274:MZP524274 NJK524274:NJL524274 NTG524274:NTH524274 ODC524274:ODD524274 OMY524274:OMZ524274 OWU524274:OWV524274 PGQ524274:PGR524274 PQM524274:PQN524274 QAI524274:QAJ524274 QKE524274:QKF524274 QUA524274:QUB524274 RDW524274:RDX524274 RNS524274:RNT524274 RXO524274:RXP524274 SHK524274:SHL524274 SRG524274:SRH524274 TBC524274:TBD524274 TKY524274:TKZ524274 TUU524274:TUV524274 UEQ524274:UER524274 UOM524274:UON524274 UYI524274:UYJ524274 VIE524274:VIF524274 VSA524274:VSB524274 WBW524274:WBX524274 WLS524274:WLT524274 WVO524274:WVP524274 H655346 JC589810:JD589810 SY589810:SZ589810 ACU589810:ACV589810 AMQ589810:AMR589810 AWM589810:AWN589810 BGI589810:BGJ589810 BQE589810:BQF589810 CAA589810:CAB589810 CJW589810:CJX589810 CTS589810:CTT589810 DDO589810:DDP589810 DNK589810:DNL589810 DXG589810:DXH589810 EHC589810:EHD589810 EQY589810:EQZ589810 FAU589810:FAV589810 FKQ589810:FKR589810 FUM589810:FUN589810 GEI589810:GEJ589810 GOE589810:GOF589810 GYA589810:GYB589810 HHW589810:HHX589810 HRS589810:HRT589810 IBO589810:IBP589810 ILK589810:ILL589810 IVG589810:IVH589810 JFC589810:JFD589810 JOY589810:JOZ589810 JYU589810:JYV589810 KIQ589810:KIR589810 KSM589810:KSN589810 LCI589810:LCJ589810 LME589810:LMF589810 LWA589810:LWB589810 MFW589810:MFX589810 MPS589810:MPT589810 MZO589810:MZP589810 NJK589810:NJL589810 NTG589810:NTH589810 ODC589810:ODD589810 OMY589810:OMZ589810 OWU589810:OWV589810 PGQ589810:PGR589810 PQM589810:PQN589810 QAI589810:QAJ589810 QKE589810:QKF589810 QUA589810:QUB589810 RDW589810:RDX589810 RNS589810:RNT589810 RXO589810:RXP589810 SHK589810:SHL589810 SRG589810:SRH589810 TBC589810:TBD589810 TKY589810:TKZ589810 TUU589810:TUV589810 UEQ589810:UER589810 UOM589810:UON589810 UYI589810:UYJ589810 VIE589810:VIF589810 VSA589810:VSB589810 WBW589810:WBX589810 WLS589810:WLT589810 WVO589810:WVP589810 H720882 JC655346:JD655346 SY655346:SZ655346 ACU655346:ACV655346 AMQ655346:AMR655346 AWM655346:AWN655346 BGI655346:BGJ655346 BQE655346:BQF655346 CAA655346:CAB655346 CJW655346:CJX655346 CTS655346:CTT655346 DDO655346:DDP655346 DNK655346:DNL655346 DXG655346:DXH655346 EHC655346:EHD655346 EQY655346:EQZ655346 FAU655346:FAV655346 FKQ655346:FKR655346 FUM655346:FUN655346 GEI655346:GEJ655346 GOE655346:GOF655346 GYA655346:GYB655346 HHW655346:HHX655346 HRS655346:HRT655346 IBO655346:IBP655346 ILK655346:ILL655346 IVG655346:IVH655346 JFC655346:JFD655346 JOY655346:JOZ655346 JYU655346:JYV655346 KIQ655346:KIR655346 KSM655346:KSN655346 LCI655346:LCJ655346 LME655346:LMF655346 LWA655346:LWB655346 MFW655346:MFX655346 MPS655346:MPT655346 MZO655346:MZP655346 NJK655346:NJL655346 NTG655346:NTH655346 ODC655346:ODD655346 OMY655346:OMZ655346 OWU655346:OWV655346 PGQ655346:PGR655346 PQM655346:PQN655346 QAI655346:QAJ655346 QKE655346:QKF655346 QUA655346:QUB655346 RDW655346:RDX655346 RNS655346:RNT655346 RXO655346:RXP655346 SHK655346:SHL655346 SRG655346:SRH655346 TBC655346:TBD655346 TKY655346:TKZ655346 TUU655346:TUV655346 UEQ655346:UER655346 UOM655346:UON655346 UYI655346:UYJ655346 VIE655346:VIF655346 VSA655346:VSB655346 WBW655346:WBX655346 WLS655346:WLT655346 WVO655346:WVP655346 H786418 JC720882:JD720882 SY720882:SZ720882 ACU720882:ACV720882 AMQ720882:AMR720882 AWM720882:AWN720882 BGI720882:BGJ720882 BQE720882:BQF720882 CAA720882:CAB720882 CJW720882:CJX720882 CTS720882:CTT720882 DDO720882:DDP720882 DNK720882:DNL720882 DXG720882:DXH720882 EHC720882:EHD720882 EQY720882:EQZ720882 FAU720882:FAV720882 FKQ720882:FKR720882 FUM720882:FUN720882 GEI720882:GEJ720882 GOE720882:GOF720882 GYA720882:GYB720882 HHW720882:HHX720882 HRS720882:HRT720882 IBO720882:IBP720882 ILK720882:ILL720882 IVG720882:IVH720882 JFC720882:JFD720882 JOY720882:JOZ720882 JYU720882:JYV720882 KIQ720882:KIR720882 KSM720882:KSN720882 LCI720882:LCJ720882 LME720882:LMF720882 LWA720882:LWB720882 MFW720882:MFX720882 MPS720882:MPT720882 MZO720882:MZP720882 NJK720882:NJL720882 NTG720882:NTH720882 ODC720882:ODD720882 OMY720882:OMZ720882 OWU720882:OWV720882 PGQ720882:PGR720882 PQM720882:PQN720882 QAI720882:QAJ720882 QKE720882:QKF720882 QUA720882:QUB720882 RDW720882:RDX720882 RNS720882:RNT720882 RXO720882:RXP720882 SHK720882:SHL720882 SRG720882:SRH720882 TBC720882:TBD720882 TKY720882:TKZ720882 TUU720882:TUV720882 UEQ720882:UER720882 UOM720882:UON720882 UYI720882:UYJ720882 VIE720882:VIF720882 VSA720882:VSB720882 WBW720882:WBX720882 WLS720882:WLT720882 WVO720882:WVP720882 H851954 JC786418:JD786418 SY786418:SZ786418 ACU786418:ACV786418 AMQ786418:AMR786418 AWM786418:AWN786418 BGI786418:BGJ786418 BQE786418:BQF786418 CAA786418:CAB786418 CJW786418:CJX786418 CTS786418:CTT786418 DDO786418:DDP786418 DNK786418:DNL786418 DXG786418:DXH786418 EHC786418:EHD786418 EQY786418:EQZ786418 FAU786418:FAV786418 FKQ786418:FKR786418 FUM786418:FUN786418 GEI786418:GEJ786418 GOE786418:GOF786418 GYA786418:GYB786418 HHW786418:HHX786418 HRS786418:HRT786418 IBO786418:IBP786418 ILK786418:ILL786418 IVG786418:IVH786418 JFC786418:JFD786418 JOY786418:JOZ786418 JYU786418:JYV786418 KIQ786418:KIR786418 KSM786418:KSN786418 LCI786418:LCJ786418 LME786418:LMF786418 LWA786418:LWB786418 MFW786418:MFX786418 MPS786418:MPT786418 MZO786418:MZP786418 NJK786418:NJL786418 NTG786418:NTH786418 ODC786418:ODD786418 OMY786418:OMZ786418 OWU786418:OWV786418 PGQ786418:PGR786418 PQM786418:PQN786418 QAI786418:QAJ786418 QKE786418:QKF786418 QUA786418:QUB786418 RDW786418:RDX786418 RNS786418:RNT786418 RXO786418:RXP786418 SHK786418:SHL786418 SRG786418:SRH786418 TBC786418:TBD786418 TKY786418:TKZ786418 TUU786418:TUV786418 UEQ786418:UER786418 UOM786418:UON786418 UYI786418:UYJ786418 VIE786418:VIF786418 VSA786418:VSB786418 WBW786418:WBX786418 WLS786418:WLT786418 WVO786418:WVP786418 H917490 JC851954:JD851954 SY851954:SZ851954 ACU851954:ACV851954 AMQ851954:AMR851954 AWM851954:AWN851954 BGI851954:BGJ851954 BQE851954:BQF851954 CAA851954:CAB851954 CJW851954:CJX851954 CTS851954:CTT851954 DDO851954:DDP851954 DNK851954:DNL851954 DXG851954:DXH851954 EHC851954:EHD851954 EQY851954:EQZ851954 FAU851954:FAV851954 FKQ851954:FKR851954 FUM851954:FUN851954 GEI851954:GEJ851954 GOE851954:GOF851954 GYA851954:GYB851954 HHW851954:HHX851954 HRS851954:HRT851954 IBO851954:IBP851954 ILK851954:ILL851954 IVG851954:IVH851954 JFC851954:JFD851954 JOY851954:JOZ851954 JYU851954:JYV851954 KIQ851954:KIR851954 KSM851954:KSN851954 LCI851954:LCJ851954 LME851954:LMF851954 LWA851954:LWB851954 MFW851954:MFX851954 MPS851954:MPT851954 MZO851954:MZP851954 NJK851954:NJL851954 NTG851954:NTH851954 ODC851954:ODD851954 OMY851954:OMZ851954 OWU851954:OWV851954 PGQ851954:PGR851954 PQM851954:PQN851954 QAI851954:QAJ851954 QKE851954:QKF851954 QUA851954:QUB851954 RDW851954:RDX851954 RNS851954:RNT851954 RXO851954:RXP851954 SHK851954:SHL851954 SRG851954:SRH851954 TBC851954:TBD851954 TKY851954:TKZ851954 TUU851954:TUV851954 UEQ851954:UER851954 UOM851954:UON851954 UYI851954:UYJ851954 VIE851954:VIF851954 VSA851954:VSB851954 WBW851954:WBX851954 WLS851954:WLT851954 WVO851954:WVP851954 H983026 JC917490:JD917490 SY917490:SZ917490 ACU917490:ACV917490 AMQ917490:AMR917490 AWM917490:AWN917490 BGI917490:BGJ917490 BQE917490:BQF917490 CAA917490:CAB917490 CJW917490:CJX917490 CTS917490:CTT917490 DDO917490:DDP917490 DNK917490:DNL917490 DXG917490:DXH917490 EHC917490:EHD917490 EQY917490:EQZ917490 FAU917490:FAV917490 FKQ917490:FKR917490 FUM917490:FUN917490 GEI917490:GEJ917490 GOE917490:GOF917490 GYA917490:GYB917490 HHW917490:HHX917490 HRS917490:HRT917490 IBO917490:IBP917490 ILK917490:ILL917490 IVG917490:IVH917490 JFC917490:JFD917490 JOY917490:JOZ917490 JYU917490:JYV917490 KIQ917490:KIR917490 KSM917490:KSN917490 LCI917490:LCJ917490 LME917490:LMF917490 LWA917490:LWB917490 MFW917490:MFX917490 MPS917490:MPT917490 MZO917490:MZP917490 NJK917490:NJL917490 NTG917490:NTH917490 ODC917490:ODD917490 OMY917490:OMZ917490 OWU917490:OWV917490 PGQ917490:PGR917490 PQM917490:PQN917490 QAI917490:QAJ917490 QKE917490:QKF917490 QUA917490:QUB917490 RDW917490:RDX917490 RNS917490:RNT917490 RXO917490:RXP917490 SHK917490:SHL917490 SRG917490:SRH917490 TBC917490:TBD917490 TKY917490:TKZ917490 TUU917490:TUV917490 UEQ917490:UER917490 UOM917490:UON917490 UYI917490:UYJ917490 VIE917490:VIF917490 VSA917490:VSB917490 WBW917490:WBX917490 WLS917490:WLT917490 WVO917490:WVP917490 WVO983026:WVP983026 JC983026:JD983026 SY983026:SZ983026 ACU983026:ACV983026 AMQ983026:AMR983026 AWM983026:AWN983026 BGI983026:BGJ983026 BQE983026:BQF983026 CAA983026:CAB983026 CJW983026:CJX983026 CTS983026:CTT983026 DDO983026:DDP983026 DNK983026:DNL983026 DXG983026:DXH983026 EHC983026:EHD983026 EQY983026:EQZ983026 FAU983026:FAV983026 FKQ983026:FKR983026 FUM983026:FUN983026 GEI983026:GEJ983026 GOE983026:GOF983026 GYA983026:GYB983026 HHW983026:HHX983026 HRS983026:HRT983026 IBO983026:IBP983026 ILK983026:ILL983026 IVG983026:IVH983026 JFC983026:JFD983026 JOY983026:JOZ983026 JYU983026:JYV983026 KIQ983026:KIR983026 KSM983026:KSN983026 LCI983026:LCJ983026 LME983026:LMF983026 LWA983026:LWB983026 MFW983026:MFX983026 MPS983026:MPT983026 MZO983026:MZP983026 NJK983026:NJL983026 NTG983026:NTH983026 ODC983026:ODD983026 OMY983026:OMZ983026 OWU983026:OWV983026 PGQ983026:PGR983026 PQM983026:PQN983026 QAI983026:QAJ983026 QKE983026:QKF983026 QUA983026:QUB983026 RDW983026:RDX983026 RNS983026:RNT983026 RXO983026:RXP983026 SHK983026:SHL983026 SRG983026:SRH983026 TBC983026:TBD983026 TKY983026:TKZ983026 TUU983026:TUV983026 UEQ983026:UER983026 UOM983026:UON983026 UYI983026:UYJ983026 VIE983026:VIF983026 VSA983026:VSB983026 WBW983026:WBX983026 WLS983026:WLT983026 H4" xr:uid="{00000000-0002-0000-0100-000001000000}">
      <formula1>1000000</formula1>
      <formula2>1009999</formula2>
    </dataValidation>
    <dataValidation type="whole" allowBlank="1" showInputMessage="1" showErrorMessage="1" prompt="ID ou Chapa: Número de 7 dígitos referente à matrícula na empresa." sqref="WVK983027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23 IY65523 SU65523 ACQ65523 AMM65523 AWI65523 BGE65523 BQA65523 BZW65523 CJS65523 CTO65523 DDK65523 DNG65523 DXC65523 EGY65523 EQU65523 FAQ65523 FKM65523 FUI65523 GEE65523 GOA65523 GXW65523 HHS65523 HRO65523 IBK65523 ILG65523 IVC65523 JEY65523 JOU65523 JYQ65523 KIM65523 KSI65523 LCE65523 LMA65523 LVW65523 MFS65523 MPO65523 MZK65523 NJG65523 NTC65523 OCY65523 OMU65523 OWQ65523 PGM65523 PQI65523 QAE65523 QKA65523 QTW65523 RDS65523 RNO65523 RXK65523 SHG65523 SRC65523 TAY65523 TKU65523 TUQ65523 UEM65523 UOI65523 UYE65523 VIA65523 VRW65523 WBS65523 WLO65523 WVK65523 C131059 IY131059 SU131059 ACQ131059 AMM131059 AWI131059 BGE131059 BQA131059 BZW131059 CJS131059 CTO131059 DDK131059 DNG131059 DXC131059 EGY131059 EQU131059 FAQ131059 FKM131059 FUI131059 GEE131059 GOA131059 GXW131059 HHS131059 HRO131059 IBK131059 ILG131059 IVC131059 JEY131059 JOU131059 JYQ131059 KIM131059 KSI131059 LCE131059 LMA131059 LVW131059 MFS131059 MPO131059 MZK131059 NJG131059 NTC131059 OCY131059 OMU131059 OWQ131059 PGM131059 PQI131059 QAE131059 QKA131059 QTW131059 RDS131059 RNO131059 RXK131059 SHG131059 SRC131059 TAY131059 TKU131059 TUQ131059 UEM131059 UOI131059 UYE131059 VIA131059 VRW131059 WBS131059 WLO131059 WVK131059 C196595 IY196595 SU196595 ACQ196595 AMM196595 AWI196595 BGE196595 BQA196595 BZW196595 CJS196595 CTO196595 DDK196595 DNG196595 DXC196595 EGY196595 EQU196595 FAQ196595 FKM196595 FUI196595 GEE196595 GOA196595 GXW196595 HHS196595 HRO196595 IBK196595 ILG196595 IVC196595 JEY196595 JOU196595 JYQ196595 KIM196595 KSI196595 LCE196595 LMA196595 LVW196595 MFS196595 MPO196595 MZK196595 NJG196595 NTC196595 OCY196595 OMU196595 OWQ196595 PGM196595 PQI196595 QAE196595 QKA196595 QTW196595 RDS196595 RNO196595 RXK196595 SHG196595 SRC196595 TAY196595 TKU196595 TUQ196595 UEM196595 UOI196595 UYE196595 VIA196595 VRW196595 WBS196595 WLO196595 WVK196595 C262131 IY262131 SU262131 ACQ262131 AMM262131 AWI262131 BGE262131 BQA262131 BZW262131 CJS262131 CTO262131 DDK262131 DNG262131 DXC262131 EGY262131 EQU262131 FAQ262131 FKM262131 FUI262131 GEE262131 GOA262131 GXW262131 HHS262131 HRO262131 IBK262131 ILG262131 IVC262131 JEY262131 JOU262131 JYQ262131 KIM262131 KSI262131 LCE262131 LMA262131 LVW262131 MFS262131 MPO262131 MZK262131 NJG262131 NTC262131 OCY262131 OMU262131 OWQ262131 PGM262131 PQI262131 QAE262131 QKA262131 QTW262131 RDS262131 RNO262131 RXK262131 SHG262131 SRC262131 TAY262131 TKU262131 TUQ262131 UEM262131 UOI262131 UYE262131 VIA262131 VRW262131 WBS262131 WLO262131 WVK262131 C327667 IY327667 SU327667 ACQ327667 AMM327667 AWI327667 BGE327667 BQA327667 BZW327667 CJS327667 CTO327667 DDK327667 DNG327667 DXC327667 EGY327667 EQU327667 FAQ327667 FKM327667 FUI327667 GEE327667 GOA327667 GXW327667 HHS327667 HRO327667 IBK327667 ILG327667 IVC327667 JEY327667 JOU327667 JYQ327667 KIM327667 KSI327667 LCE327667 LMA327667 LVW327667 MFS327667 MPO327667 MZK327667 NJG327667 NTC327667 OCY327667 OMU327667 OWQ327667 PGM327667 PQI327667 QAE327667 QKA327667 QTW327667 RDS327667 RNO327667 RXK327667 SHG327667 SRC327667 TAY327667 TKU327667 TUQ327667 UEM327667 UOI327667 UYE327667 VIA327667 VRW327667 WBS327667 WLO327667 WVK327667 C393203 IY393203 SU393203 ACQ393203 AMM393203 AWI393203 BGE393203 BQA393203 BZW393203 CJS393203 CTO393203 DDK393203 DNG393203 DXC393203 EGY393203 EQU393203 FAQ393203 FKM393203 FUI393203 GEE393203 GOA393203 GXW393203 HHS393203 HRO393203 IBK393203 ILG393203 IVC393203 JEY393203 JOU393203 JYQ393203 KIM393203 KSI393203 LCE393203 LMA393203 LVW393203 MFS393203 MPO393203 MZK393203 NJG393203 NTC393203 OCY393203 OMU393203 OWQ393203 PGM393203 PQI393203 QAE393203 QKA393203 QTW393203 RDS393203 RNO393203 RXK393203 SHG393203 SRC393203 TAY393203 TKU393203 TUQ393203 UEM393203 UOI393203 UYE393203 VIA393203 VRW393203 WBS393203 WLO393203 WVK393203 C458739 IY458739 SU458739 ACQ458739 AMM458739 AWI458739 BGE458739 BQA458739 BZW458739 CJS458739 CTO458739 DDK458739 DNG458739 DXC458739 EGY458739 EQU458739 FAQ458739 FKM458739 FUI458739 GEE458739 GOA458739 GXW458739 HHS458739 HRO458739 IBK458739 ILG458739 IVC458739 JEY458739 JOU458739 JYQ458739 KIM458739 KSI458739 LCE458739 LMA458739 LVW458739 MFS458739 MPO458739 MZK458739 NJG458739 NTC458739 OCY458739 OMU458739 OWQ458739 PGM458739 PQI458739 QAE458739 QKA458739 QTW458739 RDS458739 RNO458739 RXK458739 SHG458739 SRC458739 TAY458739 TKU458739 TUQ458739 UEM458739 UOI458739 UYE458739 VIA458739 VRW458739 WBS458739 WLO458739 WVK458739 C524275 IY524275 SU524275 ACQ524275 AMM524275 AWI524275 BGE524275 BQA524275 BZW524275 CJS524275 CTO524275 DDK524275 DNG524275 DXC524275 EGY524275 EQU524275 FAQ524275 FKM524275 FUI524275 GEE524275 GOA524275 GXW524275 HHS524275 HRO524275 IBK524275 ILG524275 IVC524275 JEY524275 JOU524275 JYQ524275 KIM524275 KSI524275 LCE524275 LMA524275 LVW524275 MFS524275 MPO524275 MZK524275 NJG524275 NTC524275 OCY524275 OMU524275 OWQ524275 PGM524275 PQI524275 QAE524275 QKA524275 QTW524275 RDS524275 RNO524275 RXK524275 SHG524275 SRC524275 TAY524275 TKU524275 TUQ524275 UEM524275 UOI524275 UYE524275 VIA524275 VRW524275 WBS524275 WLO524275 WVK524275 C589811 IY589811 SU589811 ACQ589811 AMM589811 AWI589811 BGE589811 BQA589811 BZW589811 CJS589811 CTO589811 DDK589811 DNG589811 DXC589811 EGY589811 EQU589811 FAQ589811 FKM589811 FUI589811 GEE589811 GOA589811 GXW589811 HHS589811 HRO589811 IBK589811 ILG589811 IVC589811 JEY589811 JOU589811 JYQ589811 KIM589811 KSI589811 LCE589811 LMA589811 LVW589811 MFS589811 MPO589811 MZK589811 NJG589811 NTC589811 OCY589811 OMU589811 OWQ589811 PGM589811 PQI589811 QAE589811 QKA589811 QTW589811 RDS589811 RNO589811 RXK589811 SHG589811 SRC589811 TAY589811 TKU589811 TUQ589811 UEM589811 UOI589811 UYE589811 VIA589811 VRW589811 WBS589811 WLO589811 WVK589811 C655347 IY655347 SU655347 ACQ655347 AMM655347 AWI655347 BGE655347 BQA655347 BZW655347 CJS655347 CTO655347 DDK655347 DNG655347 DXC655347 EGY655347 EQU655347 FAQ655347 FKM655347 FUI655347 GEE655347 GOA655347 GXW655347 HHS655347 HRO655347 IBK655347 ILG655347 IVC655347 JEY655347 JOU655347 JYQ655347 KIM655347 KSI655347 LCE655347 LMA655347 LVW655347 MFS655347 MPO655347 MZK655347 NJG655347 NTC655347 OCY655347 OMU655347 OWQ655347 PGM655347 PQI655347 QAE655347 QKA655347 QTW655347 RDS655347 RNO655347 RXK655347 SHG655347 SRC655347 TAY655347 TKU655347 TUQ655347 UEM655347 UOI655347 UYE655347 VIA655347 VRW655347 WBS655347 WLO655347 WVK655347 C720883 IY720883 SU720883 ACQ720883 AMM720883 AWI720883 BGE720883 BQA720883 BZW720883 CJS720883 CTO720883 DDK720883 DNG720883 DXC720883 EGY720883 EQU720883 FAQ720883 FKM720883 FUI720883 GEE720883 GOA720883 GXW720883 HHS720883 HRO720883 IBK720883 ILG720883 IVC720883 JEY720883 JOU720883 JYQ720883 KIM720883 KSI720883 LCE720883 LMA720883 LVW720883 MFS720883 MPO720883 MZK720883 NJG720883 NTC720883 OCY720883 OMU720883 OWQ720883 PGM720883 PQI720883 QAE720883 QKA720883 QTW720883 RDS720883 RNO720883 RXK720883 SHG720883 SRC720883 TAY720883 TKU720883 TUQ720883 UEM720883 UOI720883 UYE720883 VIA720883 VRW720883 WBS720883 WLO720883 WVK720883 C786419 IY786419 SU786419 ACQ786419 AMM786419 AWI786419 BGE786419 BQA786419 BZW786419 CJS786419 CTO786419 DDK786419 DNG786419 DXC786419 EGY786419 EQU786419 FAQ786419 FKM786419 FUI786419 GEE786419 GOA786419 GXW786419 HHS786419 HRO786419 IBK786419 ILG786419 IVC786419 JEY786419 JOU786419 JYQ786419 KIM786419 KSI786419 LCE786419 LMA786419 LVW786419 MFS786419 MPO786419 MZK786419 NJG786419 NTC786419 OCY786419 OMU786419 OWQ786419 PGM786419 PQI786419 QAE786419 QKA786419 QTW786419 RDS786419 RNO786419 RXK786419 SHG786419 SRC786419 TAY786419 TKU786419 TUQ786419 UEM786419 UOI786419 UYE786419 VIA786419 VRW786419 WBS786419 WLO786419 WVK786419 C851955 IY851955 SU851955 ACQ851955 AMM851955 AWI851955 BGE851955 BQA851955 BZW851955 CJS851955 CTO851955 DDK851955 DNG851955 DXC851955 EGY851955 EQU851955 FAQ851955 FKM851955 FUI851955 GEE851955 GOA851955 GXW851955 HHS851955 HRO851955 IBK851955 ILG851955 IVC851955 JEY851955 JOU851955 JYQ851955 KIM851955 KSI851955 LCE851955 LMA851955 LVW851955 MFS851955 MPO851955 MZK851955 NJG851955 NTC851955 OCY851955 OMU851955 OWQ851955 PGM851955 PQI851955 QAE851955 QKA851955 QTW851955 RDS851955 RNO851955 RXK851955 SHG851955 SRC851955 TAY851955 TKU851955 TUQ851955 UEM851955 UOI851955 UYE851955 VIA851955 VRW851955 WBS851955 WLO851955 WVK851955 C917491 IY917491 SU917491 ACQ917491 AMM917491 AWI917491 BGE917491 BQA917491 BZW917491 CJS917491 CTO917491 DDK917491 DNG917491 DXC917491 EGY917491 EQU917491 FAQ917491 FKM917491 FUI917491 GEE917491 GOA917491 GXW917491 HHS917491 HRO917491 IBK917491 ILG917491 IVC917491 JEY917491 JOU917491 JYQ917491 KIM917491 KSI917491 LCE917491 LMA917491 LVW917491 MFS917491 MPO917491 MZK917491 NJG917491 NTC917491 OCY917491 OMU917491 OWQ917491 PGM917491 PQI917491 QAE917491 QKA917491 QTW917491 RDS917491 RNO917491 RXK917491 SHG917491 SRC917491 TAY917491 TKU917491 TUQ917491 UEM917491 UOI917491 UYE917491 VIA917491 VRW917491 WBS917491 WLO917491 WVK917491 C983027 IY983027 SU983027 ACQ983027 AMM983027 AWI983027 BGE983027 BQA983027 BZW983027 CJS983027 CTO983027 DDK983027 DNG983027 DXC983027 EGY983027 EQU983027 FAQ983027 FKM983027 FUI983027 GEE983027 GOA983027 GXW983027 HHS983027 HRO983027 IBK983027 ILG983027 IVC983027 JEY983027 JOU983027 JYQ983027 KIM983027 KSI983027 LCE983027 LMA983027 LVW983027 MFS983027 MPO983027 MZK983027 NJG983027 NTC983027 OCY983027 OMU983027 OWQ983027 PGM983027 PQI983027 QAE983027 QKA983027 QTW983027 RDS983027 RNO983027 RXK983027 SHG983027 SRC983027 TAY983027 TKU983027 TUQ983027 UEM983027 UOI983027 UYE983027 VIA983027 VRW983027 WBS983027 WLO983027" xr:uid="{00000000-0002-0000-0100-000002000000}">
      <formula1>1000000</formula1>
      <formula2>1009999</formula2>
    </dataValidation>
    <dataValidation type="list" allowBlank="1" showInputMessage="1" showErrorMessage="1" prompt="Escolha o grupo de Job Grades" sqref="C65536:D65536 SU11:SV20 ACQ11:ACR20 AMM11:AMN20 AWI11:AWJ20 BGE11:BGF20 BQA11:BQB20 BZW11:BZX20 CJS11:CJT20 CTO11:CTP20 DDK11:DDL20 DNG11:DNH20 DXC11:DXD20 EGY11:EGZ20 EQU11:EQV20 FAQ11:FAR20 FKM11:FKN20 FUI11:FUJ20 GEE11:GEF20 GOA11:GOB20 GXW11:GXX20 HHS11:HHT20 HRO11:HRP20 IBK11:IBL20 ILG11:ILH20 IVC11:IVD20 JEY11:JEZ20 JOU11:JOV20 JYQ11:JYR20 KIM11:KIN20 KSI11:KSJ20 LCE11:LCF20 LMA11:LMB20 LVW11:LVX20 MFS11:MFT20 MPO11:MPP20 MZK11:MZL20 NJG11:NJH20 NTC11:NTD20 OCY11:OCZ20 OMU11:OMV20 OWQ11:OWR20 PGM11:PGN20 PQI11:PQJ20 QAE11:QAF20 QKA11:QKB20 QTW11:QTX20 RDS11:RDT20 RNO11:RNP20 RXK11:RXL20 SHG11:SHH20 SRC11:SRD20 TAY11:TAZ20 TKU11:TKV20 TUQ11:TUR20 UEM11:UEN20 UOI11:UOJ20 UYE11:UYF20 VIA11:VIB20 VRW11:VRX20 WBS11:WBT20 WLO11:WLP20 WVK11:WVL20 IY65536:IZ65536 SU65536:SV65536 ACQ65536:ACR65536 AMM65536:AMN65536 AWI65536:AWJ65536 BGE65536:BGF65536 BQA65536:BQB65536 BZW65536:BZX65536 CJS65536:CJT65536 CTO65536:CTP65536 DDK65536:DDL65536 DNG65536:DNH65536 DXC65536:DXD65536 EGY65536:EGZ65536 EQU65536:EQV65536 FAQ65536:FAR65536 FKM65536:FKN65536 FUI65536:FUJ65536 GEE65536:GEF65536 GOA65536:GOB65536 GXW65536:GXX65536 HHS65536:HHT65536 HRO65536:HRP65536 IBK65536:IBL65536 ILG65536:ILH65536 IVC65536:IVD65536 JEY65536:JEZ65536 JOU65536:JOV65536 JYQ65536:JYR65536 KIM65536:KIN65536 KSI65536:KSJ65536 LCE65536:LCF65536 LMA65536:LMB65536 LVW65536:LVX65536 MFS65536:MFT65536 MPO65536:MPP65536 MZK65536:MZL65536 NJG65536:NJH65536 NTC65536:NTD65536 OCY65536:OCZ65536 OMU65536:OMV65536 OWQ65536:OWR65536 PGM65536:PGN65536 PQI65536:PQJ65536 QAE65536:QAF65536 QKA65536:QKB65536 QTW65536:QTX65536 RDS65536:RDT65536 RNO65536:RNP65536 RXK65536:RXL65536 SHG65536:SHH65536 SRC65536:SRD65536 TAY65536:TAZ65536 TKU65536:TKV65536 TUQ65536:TUR65536 UEM65536:UEN65536 UOI65536:UOJ65536 UYE65536:UYF65536 VIA65536:VIB65536 VRW65536:VRX65536 WBS65536:WBT65536 WLO65536:WLP65536 WVK65536:WVL65536 IY131072:IZ131072 SU131072:SV131072 ACQ131072:ACR131072 AMM131072:AMN131072 AWI131072:AWJ131072 BGE131072:BGF131072 BQA131072:BQB131072 BZW131072:BZX131072 CJS131072:CJT131072 CTO131072:CTP131072 DDK131072:DDL131072 DNG131072:DNH131072 DXC131072:DXD131072 EGY131072:EGZ131072 EQU131072:EQV131072 FAQ131072:FAR131072 FKM131072:FKN131072 FUI131072:FUJ131072 GEE131072:GEF131072 GOA131072:GOB131072 GXW131072:GXX131072 HHS131072:HHT131072 HRO131072:HRP131072 IBK131072:IBL131072 ILG131072:ILH131072 IVC131072:IVD131072 JEY131072:JEZ131072 JOU131072:JOV131072 JYQ131072:JYR131072 KIM131072:KIN131072 KSI131072:KSJ131072 LCE131072:LCF131072 LMA131072:LMB131072 LVW131072:LVX131072 MFS131072:MFT131072 MPO131072:MPP131072 MZK131072:MZL131072 NJG131072:NJH131072 NTC131072:NTD131072 OCY131072:OCZ131072 OMU131072:OMV131072 OWQ131072:OWR131072 PGM131072:PGN131072 PQI131072:PQJ131072 QAE131072:QAF131072 QKA131072:QKB131072 QTW131072:QTX131072 RDS131072:RDT131072 RNO131072:RNP131072 RXK131072:RXL131072 SHG131072:SHH131072 SRC131072:SRD131072 TAY131072:TAZ131072 TKU131072:TKV131072 TUQ131072:TUR131072 UEM131072:UEN131072 UOI131072:UOJ131072 UYE131072:UYF131072 VIA131072:VIB131072 VRW131072:VRX131072 WBS131072:WBT131072 WLO131072:WLP131072 WVK131072:WVL131072 IY196608:IZ196608 SU196608:SV196608 ACQ196608:ACR196608 AMM196608:AMN196608 AWI196608:AWJ196608 BGE196608:BGF196608 BQA196608:BQB196608 BZW196608:BZX196608 CJS196608:CJT196608 CTO196608:CTP196608 DDK196608:DDL196608 DNG196608:DNH196608 DXC196608:DXD196608 EGY196608:EGZ196608 EQU196608:EQV196608 FAQ196608:FAR196608 FKM196608:FKN196608 FUI196608:FUJ196608 GEE196608:GEF196608 GOA196608:GOB196608 GXW196608:GXX196608 HHS196608:HHT196608 HRO196608:HRP196608 IBK196608:IBL196608 ILG196608:ILH196608 IVC196608:IVD196608 JEY196608:JEZ196608 JOU196608:JOV196608 JYQ196608:JYR196608 KIM196608:KIN196608 KSI196608:KSJ196608 LCE196608:LCF196608 LMA196608:LMB196608 LVW196608:LVX196608 MFS196608:MFT196608 MPO196608:MPP196608 MZK196608:MZL196608 NJG196608:NJH196608 NTC196608:NTD196608 OCY196608:OCZ196608 OMU196608:OMV196608 OWQ196608:OWR196608 PGM196608:PGN196608 PQI196608:PQJ196608 QAE196608:QAF196608 QKA196608:QKB196608 QTW196608:QTX196608 RDS196608:RDT196608 RNO196608:RNP196608 RXK196608:RXL196608 SHG196608:SHH196608 SRC196608:SRD196608 TAY196608:TAZ196608 TKU196608:TKV196608 TUQ196608:TUR196608 UEM196608:UEN196608 UOI196608:UOJ196608 UYE196608:UYF196608 VIA196608:VIB196608 VRW196608:VRX196608 WBS196608:WBT196608 WLO196608:WLP196608 WVK196608:WVL196608 IY262144:IZ262144 SU262144:SV262144 ACQ262144:ACR262144 AMM262144:AMN262144 AWI262144:AWJ262144 BGE262144:BGF262144 BQA262144:BQB262144 BZW262144:BZX262144 CJS262144:CJT262144 CTO262144:CTP262144 DDK262144:DDL262144 DNG262144:DNH262144 DXC262144:DXD262144 EGY262144:EGZ262144 EQU262144:EQV262144 FAQ262144:FAR262144 FKM262144:FKN262144 FUI262144:FUJ262144 GEE262144:GEF262144 GOA262144:GOB262144 GXW262144:GXX262144 HHS262144:HHT262144 HRO262144:HRP262144 IBK262144:IBL262144 ILG262144:ILH262144 IVC262144:IVD262144 JEY262144:JEZ262144 JOU262144:JOV262144 JYQ262144:JYR262144 KIM262144:KIN262144 KSI262144:KSJ262144 LCE262144:LCF262144 LMA262144:LMB262144 LVW262144:LVX262144 MFS262144:MFT262144 MPO262144:MPP262144 MZK262144:MZL262144 NJG262144:NJH262144 NTC262144:NTD262144 OCY262144:OCZ262144 OMU262144:OMV262144 OWQ262144:OWR262144 PGM262144:PGN262144 PQI262144:PQJ262144 QAE262144:QAF262144 QKA262144:QKB262144 QTW262144:QTX262144 RDS262144:RDT262144 RNO262144:RNP262144 RXK262144:RXL262144 SHG262144:SHH262144 SRC262144:SRD262144 TAY262144:TAZ262144 TKU262144:TKV262144 TUQ262144:TUR262144 UEM262144:UEN262144 UOI262144:UOJ262144 UYE262144:UYF262144 VIA262144:VIB262144 VRW262144:VRX262144 WBS262144:WBT262144 WLO262144:WLP262144 WVK262144:WVL262144 IY327680:IZ327680 SU327680:SV327680 ACQ327680:ACR327680 AMM327680:AMN327680 AWI327680:AWJ327680 BGE327680:BGF327680 BQA327680:BQB327680 BZW327680:BZX327680 CJS327680:CJT327680 CTO327680:CTP327680 DDK327680:DDL327680 DNG327680:DNH327680 DXC327680:DXD327680 EGY327680:EGZ327680 EQU327680:EQV327680 FAQ327680:FAR327680 FKM327680:FKN327680 FUI327680:FUJ327680 GEE327680:GEF327680 GOA327680:GOB327680 GXW327680:GXX327680 HHS327680:HHT327680 HRO327680:HRP327680 IBK327680:IBL327680 ILG327680:ILH327680 IVC327680:IVD327680 JEY327680:JEZ327680 JOU327680:JOV327680 JYQ327680:JYR327680 KIM327680:KIN327680 KSI327680:KSJ327680 LCE327680:LCF327680 LMA327680:LMB327680 LVW327680:LVX327680 MFS327680:MFT327680 MPO327680:MPP327680 MZK327680:MZL327680 NJG327680:NJH327680 NTC327680:NTD327680 OCY327680:OCZ327680 OMU327680:OMV327680 OWQ327680:OWR327680 PGM327680:PGN327680 PQI327680:PQJ327680 QAE327680:QAF327680 QKA327680:QKB327680 QTW327680:QTX327680 RDS327680:RDT327680 RNO327680:RNP327680 RXK327680:RXL327680 SHG327680:SHH327680 SRC327680:SRD327680 TAY327680:TAZ327680 TKU327680:TKV327680 TUQ327680:TUR327680 UEM327680:UEN327680 UOI327680:UOJ327680 UYE327680:UYF327680 VIA327680:VIB327680 VRW327680:VRX327680 WBS327680:WBT327680 WLO327680:WLP327680 WVK327680:WVL327680 IY393216:IZ393216 SU393216:SV393216 ACQ393216:ACR393216 AMM393216:AMN393216 AWI393216:AWJ393216 BGE393216:BGF393216 BQA393216:BQB393216 BZW393216:BZX393216 CJS393216:CJT393216 CTO393216:CTP393216 DDK393216:DDL393216 DNG393216:DNH393216 DXC393216:DXD393216 EGY393216:EGZ393216 EQU393216:EQV393216 FAQ393216:FAR393216 FKM393216:FKN393216 FUI393216:FUJ393216 GEE393216:GEF393216 GOA393216:GOB393216 GXW393216:GXX393216 HHS393216:HHT393216 HRO393216:HRP393216 IBK393216:IBL393216 ILG393216:ILH393216 IVC393216:IVD393216 JEY393216:JEZ393216 JOU393216:JOV393216 JYQ393216:JYR393216 KIM393216:KIN393216 KSI393216:KSJ393216 LCE393216:LCF393216 LMA393216:LMB393216 LVW393216:LVX393216 MFS393216:MFT393216 MPO393216:MPP393216 MZK393216:MZL393216 NJG393216:NJH393216 NTC393216:NTD393216 OCY393216:OCZ393216 OMU393216:OMV393216 OWQ393216:OWR393216 PGM393216:PGN393216 PQI393216:PQJ393216 QAE393216:QAF393216 QKA393216:QKB393216 QTW393216:QTX393216 RDS393216:RDT393216 RNO393216:RNP393216 RXK393216:RXL393216 SHG393216:SHH393216 SRC393216:SRD393216 TAY393216:TAZ393216 TKU393216:TKV393216 TUQ393216:TUR393216 UEM393216:UEN393216 UOI393216:UOJ393216 UYE393216:UYF393216 VIA393216:VIB393216 VRW393216:VRX393216 WBS393216:WBT393216 WLO393216:WLP393216 WVK393216:WVL393216 IY458752:IZ458752 SU458752:SV458752 ACQ458752:ACR458752 AMM458752:AMN458752 AWI458752:AWJ458752 BGE458752:BGF458752 BQA458752:BQB458752 BZW458752:BZX458752 CJS458752:CJT458752 CTO458752:CTP458752 DDK458752:DDL458752 DNG458752:DNH458752 DXC458752:DXD458752 EGY458752:EGZ458752 EQU458752:EQV458752 FAQ458752:FAR458752 FKM458752:FKN458752 FUI458752:FUJ458752 GEE458752:GEF458752 GOA458752:GOB458752 GXW458752:GXX458752 HHS458752:HHT458752 HRO458752:HRP458752 IBK458752:IBL458752 ILG458752:ILH458752 IVC458752:IVD458752 JEY458752:JEZ458752 JOU458752:JOV458752 JYQ458752:JYR458752 KIM458752:KIN458752 KSI458752:KSJ458752 LCE458752:LCF458752 LMA458752:LMB458752 LVW458752:LVX458752 MFS458752:MFT458752 MPO458752:MPP458752 MZK458752:MZL458752 NJG458752:NJH458752 NTC458752:NTD458752 OCY458752:OCZ458752 OMU458752:OMV458752 OWQ458752:OWR458752 PGM458752:PGN458752 PQI458752:PQJ458752 QAE458752:QAF458752 QKA458752:QKB458752 QTW458752:QTX458752 RDS458752:RDT458752 RNO458752:RNP458752 RXK458752:RXL458752 SHG458752:SHH458752 SRC458752:SRD458752 TAY458752:TAZ458752 TKU458752:TKV458752 TUQ458752:TUR458752 UEM458752:UEN458752 UOI458752:UOJ458752 UYE458752:UYF458752 VIA458752:VIB458752 VRW458752:VRX458752 WBS458752:WBT458752 WLO458752:WLP458752 WVK458752:WVL458752 IY524288:IZ524288 SU524288:SV524288 ACQ524288:ACR524288 AMM524288:AMN524288 AWI524288:AWJ524288 BGE524288:BGF524288 BQA524288:BQB524288 BZW524288:BZX524288 CJS524288:CJT524288 CTO524288:CTP524288 DDK524288:DDL524288 DNG524288:DNH524288 DXC524288:DXD524288 EGY524288:EGZ524288 EQU524288:EQV524288 FAQ524288:FAR524288 FKM524288:FKN524288 FUI524288:FUJ524288 GEE524288:GEF524288 GOA524288:GOB524288 GXW524288:GXX524288 HHS524288:HHT524288 HRO524288:HRP524288 IBK524288:IBL524288 ILG524288:ILH524288 IVC524288:IVD524288 JEY524288:JEZ524288 JOU524288:JOV524288 JYQ524288:JYR524288 KIM524288:KIN524288 KSI524288:KSJ524288 LCE524288:LCF524288 LMA524288:LMB524288 LVW524288:LVX524288 MFS524288:MFT524288 MPO524288:MPP524288 MZK524288:MZL524288 NJG524288:NJH524288 NTC524288:NTD524288 OCY524288:OCZ524288 OMU524288:OMV524288 OWQ524288:OWR524288 PGM524288:PGN524288 PQI524288:PQJ524288 QAE524288:QAF524288 QKA524288:QKB524288 QTW524288:QTX524288 RDS524288:RDT524288 RNO524288:RNP524288 RXK524288:RXL524288 SHG524288:SHH524288 SRC524288:SRD524288 TAY524288:TAZ524288 TKU524288:TKV524288 TUQ524288:TUR524288 UEM524288:UEN524288 UOI524288:UOJ524288 UYE524288:UYF524288 VIA524288:VIB524288 VRW524288:VRX524288 WBS524288:WBT524288 WLO524288:WLP524288 WVK524288:WVL524288 IY589824:IZ589824 SU589824:SV589824 ACQ589824:ACR589824 AMM589824:AMN589824 AWI589824:AWJ589824 BGE589824:BGF589824 BQA589824:BQB589824 BZW589824:BZX589824 CJS589824:CJT589824 CTO589824:CTP589824 DDK589824:DDL589824 DNG589824:DNH589824 DXC589824:DXD589824 EGY589824:EGZ589824 EQU589824:EQV589824 FAQ589824:FAR589824 FKM589824:FKN589824 FUI589824:FUJ589824 GEE589824:GEF589824 GOA589824:GOB589824 GXW589824:GXX589824 HHS589824:HHT589824 HRO589824:HRP589824 IBK589824:IBL589824 ILG589824:ILH589824 IVC589824:IVD589824 JEY589824:JEZ589824 JOU589824:JOV589824 JYQ589824:JYR589824 KIM589824:KIN589824 KSI589824:KSJ589824 LCE589824:LCF589824 LMA589824:LMB589824 LVW589824:LVX589824 MFS589824:MFT589824 MPO589824:MPP589824 MZK589824:MZL589824 NJG589824:NJH589824 NTC589824:NTD589824 OCY589824:OCZ589824 OMU589824:OMV589824 OWQ589824:OWR589824 PGM589824:PGN589824 PQI589824:PQJ589824 QAE589824:QAF589824 QKA589824:QKB589824 QTW589824:QTX589824 RDS589824:RDT589824 RNO589824:RNP589824 RXK589824:RXL589824 SHG589824:SHH589824 SRC589824:SRD589824 TAY589824:TAZ589824 TKU589824:TKV589824 TUQ589824:TUR589824 UEM589824:UEN589824 UOI589824:UOJ589824 UYE589824:UYF589824 VIA589824:VIB589824 VRW589824:VRX589824 WBS589824:WBT589824 WLO589824:WLP589824 WVK589824:WVL589824 IY655360:IZ655360 SU655360:SV655360 ACQ655360:ACR655360 AMM655360:AMN655360 AWI655360:AWJ655360 BGE655360:BGF655360 BQA655360:BQB655360 BZW655360:BZX655360 CJS655360:CJT655360 CTO655360:CTP655360 DDK655360:DDL655360 DNG655360:DNH655360 DXC655360:DXD655360 EGY655360:EGZ655360 EQU655360:EQV655360 FAQ655360:FAR655360 FKM655360:FKN655360 FUI655360:FUJ655360 GEE655360:GEF655360 GOA655360:GOB655360 GXW655360:GXX655360 HHS655360:HHT655360 HRO655360:HRP655360 IBK655360:IBL655360 ILG655360:ILH655360 IVC655360:IVD655360 JEY655360:JEZ655360 JOU655360:JOV655360 JYQ655360:JYR655360 KIM655360:KIN655360 KSI655360:KSJ655360 LCE655360:LCF655360 LMA655360:LMB655360 LVW655360:LVX655360 MFS655360:MFT655360 MPO655360:MPP655360 MZK655360:MZL655360 NJG655360:NJH655360 NTC655360:NTD655360 OCY655360:OCZ655360 OMU655360:OMV655360 OWQ655360:OWR655360 PGM655360:PGN655360 PQI655360:PQJ655360 QAE655360:QAF655360 QKA655360:QKB655360 QTW655360:QTX655360 RDS655360:RDT655360 RNO655360:RNP655360 RXK655360:RXL655360 SHG655360:SHH655360 SRC655360:SRD655360 TAY655360:TAZ655360 TKU655360:TKV655360 TUQ655360:TUR655360 UEM655360:UEN655360 UOI655360:UOJ655360 UYE655360:UYF655360 VIA655360:VIB655360 VRW655360:VRX655360 WBS655360:WBT655360 WLO655360:WLP655360 WVK655360:WVL655360 IY720896:IZ720896 SU720896:SV720896 ACQ720896:ACR720896 AMM720896:AMN720896 AWI720896:AWJ720896 BGE720896:BGF720896 BQA720896:BQB720896 BZW720896:BZX720896 CJS720896:CJT720896 CTO720896:CTP720896 DDK720896:DDL720896 DNG720896:DNH720896 DXC720896:DXD720896 EGY720896:EGZ720896 EQU720896:EQV720896 FAQ720896:FAR720896 FKM720896:FKN720896 FUI720896:FUJ720896 GEE720896:GEF720896 GOA720896:GOB720896 GXW720896:GXX720896 HHS720896:HHT720896 HRO720896:HRP720896 IBK720896:IBL720896 ILG720896:ILH720896 IVC720896:IVD720896 JEY720896:JEZ720896 JOU720896:JOV720896 JYQ720896:JYR720896 KIM720896:KIN720896 KSI720896:KSJ720896 LCE720896:LCF720896 LMA720896:LMB720896 LVW720896:LVX720896 MFS720896:MFT720896 MPO720896:MPP720896 MZK720896:MZL720896 NJG720896:NJH720896 NTC720896:NTD720896 OCY720896:OCZ720896 OMU720896:OMV720896 OWQ720896:OWR720896 PGM720896:PGN720896 PQI720896:PQJ720896 QAE720896:QAF720896 QKA720896:QKB720896 QTW720896:QTX720896 RDS720896:RDT720896 RNO720896:RNP720896 RXK720896:RXL720896 SHG720896:SHH720896 SRC720896:SRD720896 TAY720896:TAZ720896 TKU720896:TKV720896 TUQ720896:TUR720896 UEM720896:UEN720896 UOI720896:UOJ720896 UYE720896:UYF720896 VIA720896:VIB720896 VRW720896:VRX720896 WBS720896:WBT720896 WLO720896:WLP720896 WVK720896:WVL720896 IY786432:IZ786432 SU786432:SV786432 ACQ786432:ACR786432 AMM786432:AMN786432 AWI786432:AWJ786432 BGE786432:BGF786432 BQA786432:BQB786432 BZW786432:BZX786432 CJS786432:CJT786432 CTO786432:CTP786432 DDK786432:DDL786432 DNG786432:DNH786432 DXC786432:DXD786432 EGY786432:EGZ786432 EQU786432:EQV786432 FAQ786432:FAR786432 FKM786432:FKN786432 FUI786432:FUJ786432 GEE786432:GEF786432 GOA786432:GOB786432 GXW786432:GXX786432 HHS786432:HHT786432 HRO786432:HRP786432 IBK786432:IBL786432 ILG786432:ILH786432 IVC786432:IVD786432 JEY786432:JEZ786432 JOU786432:JOV786432 JYQ786432:JYR786432 KIM786432:KIN786432 KSI786432:KSJ786432 LCE786432:LCF786432 LMA786432:LMB786432 LVW786432:LVX786432 MFS786432:MFT786432 MPO786432:MPP786432 MZK786432:MZL786432 NJG786432:NJH786432 NTC786432:NTD786432 OCY786432:OCZ786432 OMU786432:OMV786432 OWQ786432:OWR786432 PGM786432:PGN786432 PQI786432:PQJ786432 QAE786432:QAF786432 QKA786432:QKB786432 QTW786432:QTX786432 RDS786432:RDT786432 RNO786432:RNP786432 RXK786432:RXL786432 SHG786432:SHH786432 SRC786432:SRD786432 TAY786432:TAZ786432 TKU786432:TKV786432 TUQ786432:TUR786432 UEM786432:UEN786432 UOI786432:UOJ786432 UYE786432:UYF786432 VIA786432:VIB786432 VRW786432:VRX786432 WBS786432:WBT786432 WLO786432:WLP786432 WVK786432:WVL786432 IY851968:IZ851968 SU851968:SV851968 ACQ851968:ACR851968 AMM851968:AMN851968 AWI851968:AWJ851968 BGE851968:BGF851968 BQA851968:BQB851968 BZW851968:BZX851968 CJS851968:CJT851968 CTO851968:CTP851968 DDK851968:DDL851968 DNG851968:DNH851968 DXC851968:DXD851968 EGY851968:EGZ851968 EQU851968:EQV851968 FAQ851968:FAR851968 FKM851968:FKN851968 FUI851968:FUJ851968 GEE851968:GEF851968 GOA851968:GOB851968 GXW851968:GXX851968 HHS851968:HHT851968 HRO851968:HRP851968 IBK851968:IBL851968 ILG851968:ILH851968 IVC851968:IVD851968 JEY851968:JEZ851968 JOU851968:JOV851968 JYQ851968:JYR851968 KIM851968:KIN851968 KSI851968:KSJ851968 LCE851968:LCF851968 LMA851968:LMB851968 LVW851968:LVX851968 MFS851968:MFT851968 MPO851968:MPP851968 MZK851968:MZL851968 NJG851968:NJH851968 NTC851968:NTD851968 OCY851968:OCZ851968 OMU851968:OMV851968 OWQ851968:OWR851968 PGM851968:PGN851968 PQI851968:PQJ851968 QAE851968:QAF851968 QKA851968:QKB851968 QTW851968:QTX851968 RDS851968:RDT851968 RNO851968:RNP851968 RXK851968:RXL851968 SHG851968:SHH851968 SRC851968:SRD851968 TAY851968:TAZ851968 TKU851968:TKV851968 TUQ851968:TUR851968 UEM851968:UEN851968 UOI851968:UOJ851968 UYE851968:UYF851968 VIA851968:VIB851968 VRW851968:VRX851968 WBS851968:WBT851968 WLO851968:WLP851968 WVK851968:WVL851968 IY917504:IZ917504 SU917504:SV917504 ACQ917504:ACR917504 AMM917504:AMN917504 AWI917504:AWJ917504 BGE917504:BGF917504 BQA917504:BQB917504 BZW917504:BZX917504 CJS917504:CJT917504 CTO917504:CTP917504 DDK917504:DDL917504 DNG917504:DNH917504 DXC917504:DXD917504 EGY917504:EGZ917504 EQU917504:EQV917504 FAQ917504:FAR917504 FKM917504:FKN917504 FUI917504:FUJ917504 GEE917504:GEF917504 GOA917504:GOB917504 GXW917504:GXX917504 HHS917504:HHT917504 HRO917504:HRP917504 IBK917504:IBL917504 ILG917504:ILH917504 IVC917504:IVD917504 JEY917504:JEZ917504 JOU917504:JOV917504 JYQ917504:JYR917504 KIM917504:KIN917504 KSI917504:KSJ917504 LCE917504:LCF917504 LMA917504:LMB917504 LVW917504:LVX917504 MFS917504:MFT917504 MPO917504:MPP917504 MZK917504:MZL917504 NJG917504:NJH917504 NTC917504:NTD917504 OCY917504:OCZ917504 OMU917504:OMV917504 OWQ917504:OWR917504 PGM917504:PGN917504 PQI917504:PQJ917504 QAE917504:QAF917504 QKA917504:QKB917504 QTW917504:QTX917504 RDS917504:RDT917504 RNO917504:RNP917504 RXK917504:RXL917504 SHG917504:SHH917504 SRC917504:SRD917504 TAY917504:TAZ917504 TKU917504:TKV917504 TUQ917504:TUR917504 UEM917504:UEN917504 UOI917504:UOJ917504 UYE917504:UYF917504 VIA917504:VIB917504 VRW917504:VRX917504 WBS917504:WBT917504 WLO917504:WLP917504 WVK917504:WVL917504 IY983040:IZ983040 SU983040:SV983040 ACQ983040:ACR983040 AMM983040:AMN983040 AWI983040:AWJ983040 BGE983040:BGF983040 BQA983040:BQB983040 BZW983040:BZX983040 CJS983040:CJT983040 CTO983040:CTP983040 DDK983040:DDL983040 DNG983040:DNH983040 DXC983040:DXD983040 EGY983040:EGZ983040 EQU983040:EQV983040 FAQ983040:FAR983040 FKM983040:FKN983040 FUI983040:FUJ983040 GEE983040:GEF983040 GOA983040:GOB983040 GXW983040:GXX983040 HHS983040:HHT983040 HRO983040:HRP983040 IBK983040:IBL983040 ILG983040:ILH983040 IVC983040:IVD983040 JEY983040:JEZ983040 JOU983040:JOV983040 JYQ983040:JYR983040 KIM983040:KIN983040 KSI983040:KSJ983040 LCE983040:LCF983040 LMA983040:LMB983040 LVW983040:LVX983040 MFS983040:MFT983040 MPO983040:MPP983040 MZK983040:MZL983040 NJG983040:NJH983040 NTC983040:NTD983040 OCY983040:OCZ983040 OMU983040:OMV983040 OWQ983040:OWR983040 PGM983040:PGN983040 PQI983040:PQJ983040 QAE983040:QAF983040 QKA983040:QKB983040 QTW983040:QTX983040 RDS983040:RDT983040 RNO983040:RNP983040 RXK983040:RXL983040 SHG983040:SHH983040 SRC983040:SRD983040 TAY983040:TAZ983040 TKU983040:TKV983040 TUQ983040:TUR983040 UEM983040:UEN983040 UOI983040:UOJ983040 UYE983040:UYF983040 VIA983040:VIB983040 VRW983040:VRX983040 WBS983040:WBT983040 WLO983040:WLP983040 WVK983040:WVL983040 IY11:IZ20 F65536 F131072 F196608 F262144 F327680 F393216 F458752 F524288 F589824 F655360 F720896 F786432 F851968 F917504 F983040 C983040:D983040 C917504:D917504 C851968:D851968 C786432:D786432 C720896:D720896 C655360:D655360 C589824:D589824 C524288:D524288 C458752:D458752 C393216:D393216 C327680:D327680 C262144:D262144 C196608:D196608 C131072:D131072" xr:uid="{00000000-0002-0000-0100-000003000000}">
      <formula1>#REF!</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31"/>
  <sheetViews>
    <sheetView workbookViewId="0">
      <selection activeCell="D11" sqref="D11:F11"/>
    </sheetView>
  </sheetViews>
  <sheetFormatPr defaultColWidth="9.28515625" defaultRowHeight="12.75" x14ac:dyDescent="0.25"/>
  <cols>
    <col min="1" max="1" width="1.7109375" style="4" customWidth="1"/>
    <col min="2" max="2" width="19.7109375" style="4" customWidth="1"/>
    <col min="3" max="3" width="50.7109375" style="4" customWidth="1"/>
    <col min="4" max="6" width="17.28515625" style="4" customWidth="1"/>
    <col min="7" max="7" width="50.7109375" style="4" customWidth="1"/>
    <col min="8" max="8" width="29" style="4" customWidth="1"/>
    <col min="9" max="17" width="14.5703125" style="4" customWidth="1"/>
    <col min="18" max="18" width="12" style="4" customWidth="1"/>
    <col min="19" max="19" width="17.28515625" style="4" customWidth="1"/>
    <col min="20" max="20" width="11.42578125" style="4" customWidth="1"/>
    <col min="21" max="256" width="9.28515625" style="4"/>
    <col min="257" max="257" width="1.7109375" style="4" customWidth="1"/>
    <col min="258" max="258" width="19.7109375" style="4" customWidth="1"/>
    <col min="259" max="261" width="50.7109375" style="4" customWidth="1"/>
    <col min="262" max="262" width="1.42578125" style="4" customWidth="1"/>
    <col min="263" max="263" width="27.42578125" style="4" customWidth="1"/>
    <col min="264" max="264" width="29" style="4" customWidth="1"/>
    <col min="265" max="273" width="14.5703125" style="4" customWidth="1"/>
    <col min="274" max="274" width="12" style="4" customWidth="1"/>
    <col min="275" max="275" width="17.28515625" style="4" customWidth="1"/>
    <col min="276" max="276" width="11.42578125" style="4" customWidth="1"/>
    <col min="277" max="512" width="9.28515625" style="4"/>
    <col min="513" max="513" width="1.7109375" style="4" customWidth="1"/>
    <col min="514" max="514" width="19.7109375" style="4" customWidth="1"/>
    <col min="515" max="517" width="50.7109375" style="4" customWidth="1"/>
    <col min="518" max="518" width="1.42578125" style="4" customWidth="1"/>
    <col min="519" max="519" width="27.42578125" style="4" customWidth="1"/>
    <col min="520" max="520" width="29" style="4" customWidth="1"/>
    <col min="521" max="529" width="14.5703125" style="4" customWidth="1"/>
    <col min="530" max="530" width="12" style="4" customWidth="1"/>
    <col min="531" max="531" width="17.28515625" style="4" customWidth="1"/>
    <col min="532" max="532" width="11.42578125" style="4" customWidth="1"/>
    <col min="533" max="768" width="9.28515625" style="4"/>
    <col min="769" max="769" width="1.7109375" style="4" customWidth="1"/>
    <col min="770" max="770" width="19.7109375" style="4" customWidth="1"/>
    <col min="771" max="773" width="50.7109375" style="4" customWidth="1"/>
    <col min="774" max="774" width="1.42578125" style="4" customWidth="1"/>
    <col min="775" max="775" width="27.42578125" style="4" customWidth="1"/>
    <col min="776" max="776" width="29" style="4" customWidth="1"/>
    <col min="777" max="785" width="14.5703125" style="4" customWidth="1"/>
    <col min="786" max="786" width="12" style="4" customWidth="1"/>
    <col min="787" max="787" width="17.28515625" style="4" customWidth="1"/>
    <col min="788" max="788" width="11.42578125" style="4" customWidth="1"/>
    <col min="789" max="1024" width="9.28515625" style="4"/>
    <col min="1025" max="1025" width="1.7109375" style="4" customWidth="1"/>
    <col min="1026" max="1026" width="19.7109375" style="4" customWidth="1"/>
    <col min="1027" max="1029" width="50.7109375" style="4" customWidth="1"/>
    <col min="1030" max="1030" width="1.42578125" style="4" customWidth="1"/>
    <col min="1031" max="1031" width="27.42578125" style="4" customWidth="1"/>
    <col min="1032" max="1032" width="29" style="4" customWidth="1"/>
    <col min="1033" max="1041" width="14.5703125" style="4" customWidth="1"/>
    <col min="1042" max="1042" width="12" style="4" customWidth="1"/>
    <col min="1043" max="1043" width="17.28515625" style="4" customWidth="1"/>
    <col min="1044" max="1044" width="11.42578125" style="4" customWidth="1"/>
    <col min="1045" max="1280" width="9.28515625" style="4"/>
    <col min="1281" max="1281" width="1.7109375" style="4" customWidth="1"/>
    <col min="1282" max="1282" width="19.7109375" style="4" customWidth="1"/>
    <col min="1283" max="1285" width="50.7109375" style="4" customWidth="1"/>
    <col min="1286" max="1286" width="1.42578125" style="4" customWidth="1"/>
    <col min="1287" max="1287" width="27.42578125" style="4" customWidth="1"/>
    <col min="1288" max="1288" width="29" style="4" customWidth="1"/>
    <col min="1289" max="1297" width="14.5703125" style="4" customWidth="1"/>
    <col min="1298" max="1298" width="12" style="4" customWidth="1"/>
    <col min="1299" max="1299" width="17.28515625" style="4" customWidth="1"/>
    <col min="1300" max="1300" width="11.42578125" style="4" customWidth="1"/>
    <col min="1301" max="1536" width="9.28515625" style="4"/>
    <col min="1537" max="1537" width="1.7109375" style="4" customWidth="1"/>
    <col min="1538" max="1538" width="19.7109375" style="4" customWidth="1"/>
    <col min="1539" max="1541" width="50.7109375" style="4" customWidth="1"/>
    <col min="1542" max="1542" width="1.42578125" style="4" customWidth="1"/>
    <col min="1543" max="1543" width="27.42578125" style="4" customWidth="1"/>
    <col min="1544" max="1544" width="29" style="4" customWidth="1"/>
    <col min="1545" max="1553" width="14.5703125" style="4" customWidth="1"/>
    <col min="1554" max="1554" width="12" style="4" customWidth="1"/>
    <col min="1555" max="1555" width="17.28515625" style="4" customWidth="1"/>
    <col min="1556" max="1556" width="11.42578125" style="4" customWidth="1"/>
    <col min="1557" max="1792" width="9.28515625" style="4"/>
    <col min="1793" max="1793" width="1.7109375" style="4" customWidth="1"/>
    <col min="1794" max="1794" width="19.7109375" style="4" customWidth="1"/>
    <col min="1795" max="1797" width="50.7109375" style="4" customWidth="1"/>
    <col min="1798" max="1798" width="1.42578125" style="4" customWidth="1"/>
    <col min="1799" max="1799" width="27.42578125" style="4" customWidth="1"/>
    <col min="1800" max="1800" width="29" style="4" customWidth="1"/>
    <col min="1801" max="1809" width="14.5703125" style="4" customWidth="1"/>
    <col min="1810" max="1810" width="12" style="4" customWidth="1"/>
    <col min="1811" max="1811" width="17.28515625" style="4" customWidth="1"/>
    <col min="1812" max="1812" width="11.42578125" style="4" customWidth="1"/>
    <col min="1813" max="2048" width="9.28515625" style="4"/>
    <col min="2049" max="2049" width="1.7109375" style="4" customWidth="1"/>
    <col min="2050" max="2050" width="19.7109375" style="4" customWidth="1"/>
    <col min="2051" max="2053" width="50.7109375" style="4" customWidth="1"/>
    <col min="2054" max="2054" width="1.42578125" style="4" customWidth="1"/>
    <col min="2055" max="2055" width="27.42578125" style="4" customWidth="1"/>
    <col min="2056" max="2056" width="29" style="4" customWidth="1"/>
    <col min="2057" max="2065" width="14.5703125" style="4" customWidth="1"/>
    <col min="2066" max="2066" width="12" style="4" customWidth="1"/>
    <col min="2067" max="2067" width="17.28515625" style="4" customWidth="1"/>
    <col min="2068" max="2068" width="11.42578125" style="4" customWidth="1"/>
    <col min="2069" max="2304" width="9.28515625" style="4"/>
    <col min="2305" max="2305" width="1.7109375" style="4" customWidth="1"/>
    <col min="2306" max="2306" width="19.7109375" style="4" customWidth="1"/>
    <col min="2307" max="2309" width="50.7109375" style="4" customWidth="1"/>
    <col min="2310" max="2310" width="1.42578125" style="4" customWidth="1"/>
    <col min="2311" max="2311" width="27.42578125" style="4" customWidth="1"/>
    <col min="2312" max="2312" width="29" style="4" customWidth="1"/>
    <col min="2313" max="2321" width="14.5703125" style="4" customWidth="1"/>
    <col min="2322" max="2322" width="12" style="4" customWidth="1"/>
    <col min="2323" max="2323" width="17.28515625" style="4" customWidth="1"/>
    <col min="2324" max="2324" width="11.42578125" style="4" customWidth="1"/>
    <col min="2325" max="2560" width="9.28515625" style="4"/>
    <col min="2561" max="2561" width="1.7109375" style="4" customWidth="1"/>
    <col min="2562" max="2562" width="19.7109375" style="4" customWidth="1"/>
    <col min="2563" max="2565" width="50.7109375" style="4" customWidth="1"/>
    <col min="2566" max="2566" width="1.42578125" style="4" customWidth="1"/>
    <col min="2567" max="2567" width="27.42578125" style="4" customWidth="1"/>
    <col min="2568" max="2568" width="29" style="4" customWidth="1"/>
    <col min="2569" max="2577" width="14.5703125" style="4" customWidth="1"/>
    <col min="2578" max="2578" width="12" style="4" customWidth="1"/>
    <col min="2579" max="2579" width="17.28515625" style="4" customWidth="1"/>
    <col min="2580" max="2580" width="11.42578125" style="4" customWidth="1"/>
    <col min="2581" max="2816" width="9.28515625" style="4"/>
    <col min="2817" max="2817" width="1.7109375" style="4" customWidth="1"/>
    <col min="2818" max="2818" width="19.7109375" style="4" customWidth="1"/>
    <col min="2819" max="2821" width="50.7109375" style="4" customWidth="1"/>
    <col min="2822" max="2822" width="1.42578125" style="4" customWidth="1"/>
    <col min="2823" max="2823" width="27.42578125" style="4" customWidth="1"/>
    <col min="2824" max="2824" width="29" style="4" customWidth="1"/>
    <col min="2825" max="2833" width="14.5703125" style="4" customWidth="1"/>
    <col min="2834" max="2834" width="12" style="4" customWidth="1"/>
    <col min="2835" max="2835" width="17.28515625" style="4" customWidth="1"/>
    <col min="2836" max="2836" width="11.42578125" style="4" customWidth="1"/>
    <col min="2837" max="3072" width="9.28515625" style="4"/>
    <col min="3073" max="3073" width="1.7109375" style="4" customWidth="1"/>
    <col min="3074" max="3074" width="19.7109375" style="4" customWidth="1"/>
    <col min="3075" max="3077" width="50.7109375" style="4" customWidth="1"/>
    <col min="3078" max="3078" width="1.42578125" style="4" customWidth="1"/>
    <col min="3079" max="3079" width="27.42578125" style="4" customWidth="1"/>
    <col min="3080" max="3080" width="29" style="4" customWidth="1"/>
    <col min="3081" max="3089" width="14.5703125" style="4" customWidth="1"/>
    <col min="3090" max="3090" width="12" style="4" customWidth="1"/>
    <col min="3091" max="3091" width="17.28515625" style="4" customWidth="1"/>
    <col min="3092" max="3092" width="11.42578125" style="4" customWidth="1"/>
    <col min="3093" max="3328" width="9.28515625" style="4"/>
    <col min="3329" max="3329" width="1.7109375" style="4" customWidth="1"/>
    <col min="3330" max="3330" width="19.7109375" style="4" customWidth="1"/>
    <col min="3331" max="3333" width="50.7109375" style="4" customWidth="1"/>
    <col min="3334" max="3334" width="1.42578125" style="4" customWidth="1"/>
    <col min="3335" max="3335" width="27.42578125" style="4" customWidth="1"/>
    <col min="3336" max="3336" width="29" style="4" customWidth="1"/>
    <col min="3337" max="3345" width="14.5703125" style="4" customWidth="1"/>
    <col min="3346" max="3346" width="12" style="4" customWidth="1"/>
    <col min="3347" max="3347" width="17.28515625" style="4" customWidth="1"/>
    <col min="3348" max="3348" width="11.42578125" style="4" customWidth="1"/>
    <col min="3349" max="3584" width="9.28515625" style="4"/>
    <col min="3585" max="3585" width="1.7109375" style="4" customWidth="1"/>
    <col min="3586" max="3586" width="19.7109375" style="4" customWidth="1"/>
    <col min="3587" max="3589" width="50.7109375" style="4" customWidth="1"/>
    <col min="3590" max="3590" width="1.42578125" style="4" customWidth="1"/>
    <col min="3591" max="3591" width="27.42578125" style="4" customWidth="1"/>
    <col min="3592" max="3592" width="29" style="4" customWidth="1"/>
    <col min="3593" max="3601" width="14.5703125" style="4" customWidth="1"/>
    <col min="3602" max="3602" width="12" style="4" customWidth="1"/>
    <col min="3603" max="3603" width="17.28515625" style="4" customWidth="1"/>
    <col min="3604" max="3604" width="11.42578125" style="4" customWidth="1"/>
    <col min="3605" max="3840" width="9.28515625" style="4"/>
    <col min="3841" max="3841" width="1.7109375" style="4" customWidth="1"/>
    <col min="3842" max="3842" width="19.7109375" style="4" customWidth="1"/>
    <col min="3843" max="3845" width="50.7109375" style="4" customWidth="1"/>
    <col min="3846" max="3846" width="1.42578125" style="4" customWidth="1"/>
    <col min="3847" max="3847" width="27.42578125" style="4" customWidth="1"/>
    <col min="3848" max="3848" width="29" style="4" customWidth="1"/>
    <col min="3849" max="3857" width="14.5703125" style="4" customWidth="1"/>
    <col min="3858" max="3858" width="12" style="4" customWidth="1"/>
    <col min="3859" max="3859" width="17.28515625" style="4" customWidth="1"/>
    <col min="3860" max="3860" width="11.42578125" style="4" customWidth="1"/>
    <col min="3861" max="4096" width="9.28515625" style="4"/>
    <col min="4097" max="4097" width="1.7109375" style="4" customWidth="1"/>
    <col min="4098" max="4098" width="19.7109375" style="4" customWidth="1"/>
    <col min="4099" max="4101" width="50.7109375" style="4" customWidth="1"/>
    <col min="4102" max="4102" width="1.42578125" style="4" customWidth="1"/>
    <col min="4103" max="4103" width="27.42578125" style="4" customWidth="1"/>
    <col min="4104" max="4104" width="29" style="4" customWidth="1"/>
    <col min="4105" max="4113" width="14.5703125" style="4" customWidth="1"/>
    <col min="4114" max="4114" width="12" style="4" customWidth="1"/>
    <col min="4115" max="4115" width="17.28515625" style="4" customWidth="1"/>
    <col min="4116" max="4116" width="11.42578125" style="4" customWidth="1"/>
    <col min="4117" max="4352" width="9.28515625" style="4"/>
    <col min="4353" max="4353" width="1.7109375" style="4" customWidth="1"/>
    <col min="4354" max="4354" width="19.7109375" style="4" customWidth="1"/>
    <col min="4355" max="4357" width="50.7109375" style="4" customWidth="1"/>
    <col min="4358" max="4358" width="1.42578125" style="4" customWidth="1"/>
    <col min="4359" max="4359" width="27.42578125" style="4" customWidth="1"/>
    <col min="4360" max="4360" width="29" style="4" customWidth="1"/>
    <col min="4361" max="4369" width="14.5703125" style="4" customWidth="1"/>
    <col min="4370" max="4370" width="12" style="4" customWidth="1"/>
    <col min="4371" max="4371" width="17.28515625" style="4" customWidth="1"/>
    <col min="4372" max="4372" width="11.42578125" style="4" customWidth="1"/>
    <col min="4373" max="4608" width="9.28515625" style="4"/>
    <col min="4609" max="4609" width="1.7109375" style="4" customWidth="1"/>
    <col min="4610" max="4610" width="19.7109375" style="4" customWidth="1"/>
    <col min="4611" max="4613" width="50.7109375" style="4" customWidth="1"/>
    <col min="4614" max="4614" width="1.42578125" style="4" customWidth="1"/>
    <col min="4615" max="4615" width="27.42578125" style="4" customWidth="1"/>
    <col min="4616" max="4616" width="29" style="4" customWidth="1"/>
    <col min="4617" max="4625" width="14.5703125" style="4" customWidth="1"/>
    <col min="4626" max="4626" width="12" style="4" customWidth="1"/>
    <col min="4627" max="4627" width="17.28515625" style="4" customWidth="1"/>
    <col min="4628" max="4628" width="11.42578125" style="4" customWidth="1"/>
    <col min="4629" max="4864" width="9.28515625" style="4"/>
    <col min="4865" max="4865" width="1.7109375" style="4" customWidth="1"/>
    <col min="4866" max="4866" width="19.7109375" style="4" customWidth="1"/>
    <col min="4867" max="4869" width="50.7109375" style="4" customWidth="1"/>
    <col min="4870" max="4870" width="1.42578125" style="4" customWidth="1"/>
    <col min="4871" max="4871" width="27.42578125" style="4" customWidth="1"/>
    <col min="4872" max="4872" width="29" style="4" customWidth="1"/>
    <col min="4873" max="4881" width="14.5703125" style="4" customWidth="1"/>
    <col min="4882" max="4882" width="12" style="4" customWidth="1"/>
    <col min="4883" max="4883" width="17.28515625" style="4" customWidth="1"/>
    <col min="4884" max="4884" width="11.42578125" style="4" customWidth="1"/>
    <col min="4885" max="5120" width="9.28515625" style="4"/>
    <col min="5121" max="5121" width="1.7109375" style="4" customWidth="1"/>
    <col min="5122" max="5122" width="19.7109375" style="4" customWidth="1"/>
    <col min="5123" max="5125" width="50.7109375" style="4" customWidth="1"/>
    <col min="5126" max="5126" width="1.42578125" style="4" customWidth="1"/>
    <col min="5127" max="5127" width="27.42578125" style="4" customWidth="1"/>
    <col min="5128" max="5128" width="29" style="4" customWidth="1"/>
    <col min="5129" max="5137" width="14.5703125" style="4" customWidth="1"/>
    <col min="5138" max="5138" width="12" style="4" customWidth="1"/>
    <col min="5139" max="5139" width="17.28515625" style="4" customWidth="1"/>
    <col min="5140" max="5140" width="11.42578125" style="4" customWidth="1"/>
    <col min="5141" max="5376" width="9.28515625" style="4"/>
    <col min="5377" max="5377" width="1.7109375" style="4" customWidth="1"/>
    <col min="5378" max="5378" width="19.7109375" style="4" customWidth="1"/>
    <col min="5379" max="5381" width="50.7109375" style="4" customWidth="1"/>
    <col min="5382" max="5382" width="1.42578125" style="4" customWidth="1"/>
    <col min="5383" max="5383" width="27.42578125" style="4" customWidth="1"/>
    <col min="5384" max="5384" width="29" style="4" customWidth="1"/>
    <col min="5385" max="5393" width="14.5703125" style="4" customWidth="1"/>
    <col min="5394" max="5394" width="12" style="4" customWidth="1"/>
    <col min="5395" max="5395" width="17.28515625" style="4" customWidth="1"/>
    <col min="5396" max="5396" width="11.42578125" style="4" customWidth="1"/>
    <col min="5397" max="5632" width="9.28515625" style="4"/>
    <col min="5633" max="5633" width="1.7109375" style="4" customWidth="1"/>
    <col min="5634" max="5634" width="19.7109375" style="4" customWidth="1"/>
    <col min="5635" max="5637" width="50.7109375" style="4" customWidth="1"/>
    <col min="5638" max="5638" width="1.42578125" style="4" customWidth="1"/>
    <col min="5639" max="5639" width="27.42578125" style="4" customWidth="1"/>
    <col min="5640" max="5640" width="29" style="4" customWidth="1"/>
    <col min="5641" max="5649" width="14.5703125" style="4" customWidth="1"/>
    <col min="5650" max="5650" width="12" style="4" customWidth="1"/>
    <col min="5651" max="5651" width="17.28515625" style="4" customWidth="1"/>
    <col min="5652" max="5652" width="11.42578125" style="4" customWidth="1"/>
    <col min="5653" max="5888" width="9.28515625" style="4"/>
    <col min="5889" max="5889" width="1.7109375" style="4" customWidth="1"/>
    <col min="5890" max="5890" width="19.7109375" style="4" customWidth="1"/>
    <col min="5891" max="5893" width="50.7109375" style="4" customWidth="1"/>
    <col min="5894" max="5894" width="1.42578125" style="4" customWidth="1"/>
    <col min="5895" max="5895" width="27.42578125" style="4" customWidth="1"/>
    <col min="5896" max="5896" width="29" style="4" customWidth="1"/>
    <col min="5897" max="5905" width="14.5703125" style="4" customWidth="1"/>
    <col min="5906" max="5906" width="12" style="4" customWidth="1"/>
    <col min="5907" max="5907" width="17.28515625" style="4" customWidth="1"/>
    <col min="5908" max="5908" width="11.42578125" style="4" customWidth="1"/>
    <col min="5909" max="6144" width="9.28515625" style="4"/>
    <col min="6145" max="6145" width="1.7109375" style="4" customWidth="1"/>
    <col min="6146" max="6146" width="19.7109375" style="4" customWidth="1"/>
    <col min="6147" max="6149" width="50.7109375" style="4" customWidth="1"/>
    <col min="6150" max="6150" width="1.42578125" style="4" customWidth="1"/>
    <col min="6151" max="6151" width="27.42578125" style="4" customWidth="1"/>
    <col min="6152" max="6152" width="29" style="4" customWidth="1"/>
    <col min="6153" max="6161" width="14.5703125" style="4" customWidth="1"/>
    <col min="6162" max="6162" width="12" style="4" customWidth="1"/>
    <col min="6163" max="6163" width="17.28515625" style="4" customWidth="1"/>
    <col min="6164" max="6164" width="11.42578125" style="4" customWidth="1"/>
    <col min="6165" max="6400" width="9.28515625" style="4"/>
    <col min="6401" max="6401" width="1.7109375" style="4" customWidth="1"/>
    <col min="6402" max="6402" width="19.7109375" style="4" customWidth="1"/>
    <col min="6403" max="6405" width="50.7109375" style="4" customWidth="1"/>
    <col min="6406" max="6406" width="1.42578125" style="4" customWidth="1"/>
    <col min="6407" max="6407" width="27.42578125" style="4" customWidth="1"/>
    <col min="6408" max="6408" width="29" style="4" customWidth="1"/>
    <col min="6409" max="6417" width="14.5703125" style="4" customWidth="1"/>
    <col min="6418" max="6418" width="12" style="4" customWidth="1"/>
    <col min="6419" max="6419" width="17.28515625" style="4" customWidth="1"/>
    <col min="6420" max="6420" width="11.42578125" style="4" customWidth="1"/>
    <col min="6421" max="6656" width="9.28515625" style="4"/>
    <col min="6657" max="6657" width="1.7109375" style="4" customWidth="1"/>
    <col min="6658" max="6658" width="19.7109375" style="4" customWidth="1"/>
    <col min="6659" max="6661" width="50.7109375" style="4" customWidth="1"/>
    <col min="6662" max="6662" width="1.42578125" style="4" customWidth="1"/>
    <col min="6663" max="6663" width="27.42578125" style="4" customWidth="1"/>
    <col min="6664" max="6664" width="29" style="4" customWidth="1"/>
    <col min="6665" max="6673" width="14.5703125" style="4" customWidth="1"/>
    <col min="6674" max="6674" width="12" style="4" customWidth="1"/>
    <col min="6675" max="6675" width="17.28515625" style="4" customWidth="1"/>
    <col min="6676" max="6676" width="11.42578125" style="4" customWidth="1"/>
    <col min="6677" max="6912" width="9.28515625" style="4"/>
    <col min="6913" max="6913" width="1.7109375" style="4" customWidth="1"/>
    <col min="6914" max="6914" width="19.7109375" style="4" customWidth="1"/>
    <col min="6915" max="6917" width="50.7109375" style="4" customWidth="1"/>
    <col min="6918" max="6918" width="1.42578125" style="4" customWidth="1"/>
    <col min="6919" max="6919" width="27.42578125" style="4" customWidth="1"/>
    <col min="6920" max="6920" width="29" style="4" customWidth="1"/>
    <col min="6921" max="6929" width="14.5703125" style="4" customWidth="1"/>
    <col min="6930" max="6930" width="12" style="4" customWidth="1"/>
    <col min="6931" max="6931" width="17.28515625" style="4" customWidth="1"/>
    <col min="6932" max="6932" width="11.42578125" style="4" customWidth="1"/>
    <col min="6933" max="7168" width="9.28515625" style="4"/>
    <col min="7169" max="7169" width="1.7109375" style="4" customWidth="1"/>
    <col min="7170" max="7170" width="19.7109375" style="4" customWidth="1"/>
    <col min="7171" max="7173" width="50.7109375" style="4" customWidth="1"/>
    <col min="7174" max="7174" width="1.42578125" style="4" customWidth="1"/>
    <col min="7175" max="7175" width="27.42578125" style="4" customWidth="1"/>
    <col min="7176" max="7176" width="29" style="4" customWidth="1"/>
    <col min="7177" max="7185" width="14.5703125" style="4" customWidth="1"/>
    <col min="7186" max="7186" width="12" style="4" customWidth="1"/>
    <col min="7187" max="7187" width="17.28515625" style="4" customWidth="1"/>
    <col min="7188" max="7188" width="11.42578125" style="4" customWidth="1"/>
    <col min="7189" max="7424" width="9.28515625" style="4"/>
    <col min="7425" max="7425" width="1.7109375" style="4" customWidth="1"/>
    <col min="7426" max="7426" width="19.7109375" style="4" customWidth="1"/>
    <col min="7427" max="7429" width="50.7109375" style="4" customWidth="1"/>
    <col min="7430" max="7430" width="1.42578125" style="4" customWidth="1"/>
    <col min="7431" max="7431" width="27.42578125" style="4" customWidth="1"/>
    <col min="7432" max="7432" width="29" style="4" customWidth="1"/>
    <col min="7433" max="7441" width="14.5703125" style="4" customWidth="1"/>
    <col min="7442" max="7442" width="12" style="4" customWidth="1"/>
    <col min="7443" max="7443" width="17.28515625" style="4" customWidth="1"/>
    <col min="7444" max="7444" width="11.42578125" style="4" customWidth="1"/>
    <col min="7445" max="7680" width="9.28515625" style="4"/>
    <col min="7681" max="7681" width="1.7109375" style="4" customWidth="1"/>
    <col min="7682" max="7682" width="19.7109375" style="4" customWidth="1"/>
    <col min="7683" max="7685" width="50.7109375" style="4" customWidth="1"/>
    <col min="7686" max="7686" width="1.42578125" style="4" customWidth="1"/>
    <col min="7687" max="7687" width="27.42578125" style="4" customWidth="1"/>
    <col min="7688" max="7688" width="29" style="4" customWidth="1"/>
    <col min="7689" max="7697" width="14.5703125" style="4" customWidth="1"/>
    <col min="7698" max="7698" width="12" style="4" customWidth="1"/>
    <col min="7699" max="7699" width="17.28515625" style="4" customWidth="1"/>
    <col min="7700" max="7700" width="11.42578125" style="4" customWidth="1"/>
    <col min="7701" max="7936" width="9.28515625" style="4"/>
    <col min="7937" max="7937" width="1.7109375" style="4" customWidth="1"/>
    <col min="7938" max="7938" width="19.7109375" style="4" customWidth="1"/>
    <col min="7939" max="7941" width="50.7109375" style="4" customWidth="1"/>
    <col min="7942" max="7942" width="1.42578125" style="4" customWidth="1"/>
    <col min="7943" max="7943" width="27.42578125" style="4" customWidth="1"/>
    <col min="7944" max="7944" width="29" style="4" customWidth="1"/>
    <col min="7945" max="7953" width="14.5703125" style="4" customWidth="1"/>
    <col min="7954" max="7954" width="12" style="4" customWidth="1"/>
    <col min="7955" max="7955" width="17.28515625" style="4" customWidth="1"/>
    <col min="7956" max="7956" width="11.42578125" style="4" customWidth="1"/>
    <col min="7957" max="8192" width="9.28515625" style="4"/>
    <col min="8193" max="8193" width="1.7109375" style="4" customWidth="1"/>
    <col min="8194" max="8194" width="19.7109375" style="4" customWidth="1"/>
    <col min="8195" max="8197" width="50.7109375" style="4" customWidth="1"/>
    <col min="8198" max="8198" width="1.42578125" style="4" customWidth="1"/>
    <col min="8199" max="8199" width="27.42578125" style="4" customWidth="1"/>
    <col min="8200" max="8200" width="29" style="4" customWidth="1"/>
    <col min="8201" max="8209" width="14.5703125" style="4" customWidth="1"/>
    <col min="8210" max="8210" width="12" style="4" customWidth="1"/>
    <col min="8211" max="8211" width="17.28515625" style="4" customWidth="1"/>
    <col min="8212" max="8212" width="11.42578125" style="4" customWidth="1"/>
    <col min="8213" max="8448" width="9.28515625" style="4"/>
    <col min="8449" max="8449" width="1.7109375" style="4" customWidth="1"/>
    <col min="8450" max="8450" width="19.7109375" style="4" customWidth="1"/>
    <col min="8451" max="8453" width="50.7109375" style="4" customWidth="1"/>
    <col min="8454" max="8454" width="1.42578125" style="4" customWidth="1"/>
    <col min="8455" max="8455" width="27.42578125" style="4" customWidth="1"/>
    <col min="8456" max="8456" width="29" style="4" customWidth="1"/>
    <col min="8457" max="8465" width="14.5703125" style="4" customWidth="1"/>
    <col min="8466" max="8466" width="12" style="4" customWidth="1"/>
    <col min="8467" max="8467" width="17.28515625" style="4" customWidth="1"/>
    <col min="8468" max="8468" width="11.42578125" style="4" customWidth="1"/>
    <col min="8469" max="8704" width="9.28515625" style="4"/>
    <col min="8705" max="8705" width="1.7109375" style="4" customWidth="1"/>
    <col min="8706" max="8706" width="19.7109375" style="4" customWidth="1"/>
    <col min="8707" max="8709" width="50.7109375" style="4" customWidth="1"/>
    <col min="8710" max="8710" width="1.42578125" style="4" customWidth="1"/>
    <col min="8711" max="8711" width="27.42578125" style="4" customWidth="1"/>
    <col min="8712" max="8712" width="29" style="4" customWidth="1"/>
    <col min="8713" max="8721" width="14.5703125" style="4" customWidth="1"/>
    <col min="8722" max="8722" width="12" style="4" customWidth="1"/>
    <col min="8723" max="8723" width="17.28515625" style="4" customWidth="1"/>
    <col min="8724" max="8724" width="11.42578125" style="4" customWidth="1"/>
    <col min="8725" max="8960" width="9.28515625" style="4"/>
    <col min="8961" max="8961" width="1.7109375" style="4" customWidth="1"/>
    <col min="8962" max="8962" width="19.7109375" style="4" customWidth="1"/>
    <col min="8963" max="8965" width="50.7109375" style="4" customWidth="1"/>
    <col min="8966" max="8966" width="1.42578125" style="4" customWidth="1"/>
    <col min="8967" max="8967" width="27.42578125" style="4" customWidth="1"/>
    <col min="8968" max="8968" width="29" style="4" customWidth="1"/>
    <col min="8969" max="8977" width="14.5703125" style="4" customWidth="1"/>
    <col min="8978" max="8978" width="12" style="4" customWidth="1"/>
    <col min="8979" max="8979" width="17.28515625" style="4" customWidth="1"/>
    <col min="8980" max="8980" width="11.42578125" style="4" customWidth="1"/>
    <col min="8981" max="9216" width="9.28515625" style="4"/>
    <col min="9217" max="9217" width="1.7109375" style="4" customWidth="1"/>
    <col min="9218" max="9218" width="19.7109375" style="4" customWidth="1"/>
    <col min="9219" max="9221" width="50.7109375" style="4" customWidth="1"/>
    <col min="9222" max="9222" width="1.42578125" style="4" customWidth="1"/>
    <col min="9223" max="9223" width="27.42578125" style="4" customWidth="1"/>
    <col min="9224" max="9224" width="29" style="4" customWidth="1"/>
    <col min="9225" max="9233" width="14.5703125" style="4" customWidth="1"/>
    <col min="9234" max="9234" width="12" style="4" customWidth="1"/>
    <col min="9235" max="9235" width="17.28515625" style="4" customWidth="1"/>
    <col min="9236" max="9236" width="11.42578125" style="4" customWidth="1"/>
    <col min="9237" max="9472" width="9.28515625" style="4"/>
    <col min="9473" max="9473" width="1.7109375" style="4" customWidth="1"/>
    <col min="9474" max="9474" width="19.7109375" style="4" customWidth="1"/>
    <col min="9475" max="9477" width="50.7109375" style="4" customWidth="1"/>
    <col min="9478" max="9478" width="1.42578125" style="4" customWidth="1"/>
    <col min="9479" max="9479" width="27.42578125" style="4" customWidth="1"/>
    <col min="9480" max="9480" width="29" style="4" customWidth="1"/>
    <col min="9481" max="9489" width="14.5703125" style="4" customWidth="1"/>
    <col min="9490" max="9490" width="12" style="4" customWidth="1"/>
    <col min="9491" max="9491" width="17.28515625" style="4" customWidth="1"/>
    <col min="9492" max="9492" width="11.42578125" style="4" customWidth="1"/>
    <col min="9493" max="9728" width="9.28515625" style="4"/>
    <col min="9729" max="9729" width="1.7109375" style="4" customWidth="1"/>
    <col min="9730" max="9730" width="19.7109375" style="4" customWidth="1"/>
    <col min="9731" max="9733" width="50.7109375" style="4" customWidth="1"/>
    <col min="9734" max="9734" width="1.42578125" style="4" customWidth="1"/>
    <col min="9735" max="9735" width="27.42578125" style="4" customWidth="1"/>
    <col min="9736" max="9736" width="29" style="4" customWidth="1"/>
    <col min="9737" max="9745" width="14.5703125" style="4" customWidth="1"/>
    <col min="9746" max="9746" width="12" style="4" customWidth="1"/>
    <col min="9747" max="9747" width="17.28515625" style="4" customWidth="1"/>
    <col min="9748" max="9748" width="11.42578125" style="4" customWidth="1"/>
    <col min="9749" max="9984" width="9.28515625" style="4"/>
    <col min="9985" max="9985" width="1.7109375" style="4" customWidth="1"/>
    <col min="9986" max="9986" width="19.7109375" style="4" customWidth="1"/>
    <col min="9987" max="9989" width="50.7109375" style="4" customWidth="1"/>
    <col min="9990" max="9990" width="1.42578125" style="4" customWidth="1"/>
    <col min="9991" max="9991" width="27.42578125" style="4" customWidth="1"/>
    <col min="9992" max="9992" width="29" style="4" customWidth="1"/>
    <col min="9993" max="10001" width="14.5703125" style="4" customWidth="1"/>
    <col min="10002" max="10002" width="12" style="4" customWidth="1"/>
    <col min="10003" max="10003" width="17.28515625" style="4" customWidth="1"/>
    <col min="10004" max="10004" width="11.42578125" style="4" customWidth="1"/>
    <col min="10005" max="10240" width="9.28515625" style="4"/>
    <col min="10241" max="10241" width="1.7109375" style="4" customWidth="1"/>
    <col min="10242" max="10242" width="19.7109375" style="4" customWidth="1"/>
    <col min="10243" max="10245" width="50.7109375" style="4" customWidth="1"/>
    <col min="10246" max="10246" width="1.42578125" style="4" customWidth="1"/>
    <col min="10247" max="10247" width="27.42578125" style="4" customWidth="1"/>
    <col min="10248" max="10248" width="29" style="4" customWidth="1"/>
    <col min="10249" max="10257" width="14.5703125" style="4" customWidth="1"/>
    <col min="10258" max="10258" width="12" style="4" customWidth="1"/>
    <col min="10259" max="10259" width="17.28515625" style="4" customWidth="1"/>
    <col min="10260" max="10260" width="11.42578125" style="4" customWidth="1"/>
    <col min="10261" max="10496" width="9.28515625" style="4"/>
    <col min="10497" max="10497" width="1.7109375" style="4" customWidth="1"/>
    <col min="10498" max="10498" width="19.7109375" style="4" customWidth="1"/>
    <col min="10499" max="10501" width="50.7109375" style="4" customWidth="1"/>
    <col min="10502" max="10502" width="1.42578125" style="4" customWidth="1"/>
    <col min="10503" max="10503" width="27.42578125" style="4" customWidth="1"/>
    <col min="10504" max="10504" width="29" style="4" customWidth="1"/>
    <col min="10505" max="10513" width="14.5703125" style="4" customWidth="1"/>
    <col min="10514" max="10514" width="12" style="4" customWidth="1"/>
    <col min="10515" max="10515" width="17.28515625" style="4" customWidth="1"/>
    <col min="10516" max="10516" width="11.42578125" style="4" customWidth="1"/>
    <col min="10517" max="10752" width="9.28515625" style="4"/>
    <col min="10753" max="10753" width="1.7109375" style="4" customWidth="1"/>
    <col min="10754" max="10754" width="19.7109375" style="4" customWidth="1"/>
    <col min="10755" max="10757" width="50.7109375" style="4" customWidth="1"/>
    <col min="10758" max="10758" width="1.42578125" style="4" customWidth="1"/>
    <col min="10759" max="10759" width="27.42578125" style="4" customWidth="1"/>
    <col min="10760" max="10760" width="29" style="4" customWidth="1"/>
    <col min="10761" max="10769" width="14.5703125" style="4" customWidth="1"/>
    <col min="10770" max="10770" width="12" style="4" customWidth="1"/>
    <col min="10771" max="10771" width="17.28515625" style="4" customWidth="1"/>
    <col min="10772" max="10772" width="11.42578125" style="4" customWidth="1"/>
    <col min="10773" max="11008" width="9.28515625" style="4"/>
    <col min="11009" max="11009" width="1.7109375" style="4" customWidth="1"/>
    <col min="11010" max="11010" width="19.7109375" style="4" customWidth="1"/>
    <col min="11011" max="11013" width="50.7109375" style="4" customWidth="1"/>
    <col min="11014" max="11014" width="1.42578125" style="4" customWidth="1"/>
    <col min="11015" max="11015" width="27.42578125" style="4" customWidth="1"/>
    <col min="11016" max="11016" width="29" style="4" customWidth="1"/>
    <col min="11017" max="11025" width="14.5703125" style="4" customWidth="1"/>
    <col min="11026" max="11026" width="12" style="4" customWidth="1"/>
    <col min="11027" max="11027" width="17.28515625" style="4" customWidth="1"/>
    <col min="11028" max="11028" width="11.42578125" style="4" customWidth="1"/>
    <col min="11029" max="11264" width="9.28515625" style="4"/>
    <col min="11265" max="11265" width="1.7109375" style="4" customWidth="1"/>
    <col min="11266" max="11266" width="19.7109375" style="4" customWidth="1"/>
    <col min="11267" max="11269" width="50.7109375" style="4" customWidth="1"/>
    <col min="11270" max="11270" width="1.42578125" style="4" customWidth="1"/>
    <col min="11271" max="11271" width="27.42578125" style="4" customWidth="1"/>
    <col min="11272" max="11272" width="29" style="4" customWidth="1"/>
    <col min="11273" max="11281" width="14.5703125" style="4" customWidth="1"/>
    <col min="11282" max="11282" width="12" style="4" customWidth="1"/>
    <col min="11283" max="11283" width="17.28515625" style="4" customWidth="1"/>
    <col min="11284" max="11284" width="11.42578125" style="4" customWidth="1"/>
    <col min="11285" max="11520" width="9.28515625" style="4"/>
    <col min="11521" max="11521" width="1.7109375" style="4" customWidth="1"/>
    <col min="11522" max="11522" width="19.7109375" style="4" customWidth="1"/>
    <col min="11523" max="11525" width="50.7109375" style="4" customWidth="1"/>
    <col min="11526" max="11526" width="1.42578125" style="4" customWidth="1"/>
    <col min="11527" max="11527" width="27.42578125" style="4" customWidth="1"/>
    <col min="11528" max="11528" width="29" style="4" customWidth="1"/>
    <col min="11529" max="11537" width="14.5703125" style="4" customWidth="1"/>
    <col min="11538" max="11538" width="12" style="4" customWidth="1"/>
    <col min="11539" max="11539" width="17.28515625" style="4" customWidth="1"/>
    <col min="11540" max="11540" width="11.42578125" style="4" customWidth="1"/>
    <col min="11541" max="11776" width="9.28515625" style="4"/>
    <col min="11777" max="11777" width="1.7109375" style="4" customWidth="1"/>
    <col min="11778" max="11778" width="19.7109375" style="4" customWidth="1"/>
    <col min="11779" max="11781" width="50.7109375" style="4" customWidth="1"/>
    <col min="11782" max="11782" width="1.42578125" style="4" customWidth="1"/>
    <col min="11783" max="11783" width="27.42578125" style="4" customWidth="1"/>
    <col min="11784" max="11784" width="29" style="4" customWidth="1"/>
    <col min="11785" max="11793" width="14.5703125" style="4" customWidth="1"/>
    <col min="11794" max="11794" width="12" style="4" customWidth="1"/>
    <col min="11795" max="11795" width="17.28515625" style="4" customWidth="1"/>
    <col min="11796" max="11796" width="11.42578125" style="4" customWidth="1"/>
    <col min="11797" max="12032" width="9.28515625" style="4"/>
    <col min="12033" max="12033" width="1.7109375" style="4" customWidth="1"/>
    <col min="12034" max="12034" width="19.7109375" style="4" customWidth="1"/>
    <col min="12035" max="12037" width="50.7109375" style="4" customWidth="1"/>
    <col min="12038" max="12038" width="1.42578125" style="4" customWidth="1"/>
    <col min="12039" max="12039" width="27.42578125" style="4" customWidth="1"/>
    <col min="12040" max="12040" width="29" style="4" customWidth="1"/>
    <col min="12041" max="12049" width="14.5703125" style="4" customWidth="1"/>
    <col min="12050" max="12050" width="12" style="4" customWidth="1"/>
    <col min="12051" max="12051" width="17.28515625" style="4" customWidth="1"/>
    <col min="12052" max="12052" width="11.42578125" style="4" customWidth="1"/>
    <col min="12053" max="12288" width="9.28515625" style="4"/>
    <col min="12289" max="12289" width="1.7109375" style="4" customWidth="1"/>
    <col min="12290" max="12290" width="19.7109375" style="4" customWidth="1"/>
    <col min="12291" max="12293" width="50.7109375" style="4" customWidth="1"/>
    <col min="12294" max="12294" width="1.42578125" style="4" customWidth="1"/>
    <col min="12295" max="12295" width="27.42578125" style="4" customWidth="1"/>
    <col min="12296" max="12296" width="29" style="4" customWidth="1"/>
    <col min="12297" max="12305" width="14.5703125" style="4" customWidth="1"/>
    <col min="12306" max="12306" width="12" style="4" customWidth="1"/>
    <col min="12307" max="12307" width="17.28515625" style="4" customWidth="1"/>
    <col min="12308" max="12308" width="11.42578125" style="4" customWidth="1"/>
    <col min="12309" max="12544" width="9.28515625" style="4"/>
    <col min="12545" max="12545" width="1.7109375" style="4" customWidth="1"/>
    <col min="12546" max="12546" width="19.7109375" style="4" customWidth="1"/>
    <col min="12547" max="12549" width="50.7109375" style="4" customWidth="1"/>
    <col min="12550" max="12550" width="1.42578125" style="4" customWidth="1"/>
    <col min="12551" max="12551" width="27.42578125" style="4" customWidth="1"/>
    <col min="12552" max="12552" width="29" style="4" customWidth="1"/>
    <col min="12553" max="12561" width="14.5703125" style="4" customWidth="1"/>
    <col min="12562" max="12562" width="12" style="4" customWidth="1"/>
    <col min="12563" max="12563" width="17.28515625" style="4" customWidth="1"/>
    <col min="12564" max="12564" width="11.42578125" style="4" customWidth="1"/>
    <col min="12565" max="12800" width="9.28515625" style="4"/>
    <col min="12801" max="12801" width="1.7109375" style="4" customWidth="1"/>
    <col min="12802" max="12802" width="19.7109375" style="4" customWidth="1"/>
    <col min="12803" max="12805" width="50.7109375" style="4" customWidth="1"/>
    <col min="12806" max="12806" width="1.42578125" style="4" customWidth="1"/>
    <col min="12807" max="12807" width="27.42578125" style="4" customWidth="1"/>
    <col min="12808" max="12808" width="29" style="4" customWidth="1"/>
    <col min="12809" max="12817" width="14.5703125" style="4" customWidth="1"/>
    <col min="12818" max="12818" width="12" style="4" customWidth="1"/>
    <col min="12819" max="12819" width="17.28515625" style="4" customWidth="1"/>
    <col min="12820" max="12820" width="11.42578125" style="4" customWidth="1"/>
    <col min="12821" max="13056" width="9.28515625" style="4"/>
    <col min="13057" max="13057" width="1.7109375" style="4" customWidth="1"/>
    <col min="13058" max="13058" width="19.7109375" style="4" customWidth="1"/>
    <col min="13059" max="13061" width="50.7109375" style="4" customWidth="1"/>
    <col min="13062" max="13062" width="1.42578125" style="4" customWidth="1"/>
    <col min="13063" max="13063" width="27.42578125" style="4" customWidth="1"/>
    <col min="13064" max="13064" width="29" style="4" customWidth="1"/>
    <col min="13065" max="13073" width="14.5703125" style="4" customWidth="1"/>
    <col min="13074" max="13074" width="12" style="4" customWidth="1"/>
    <col min="13075" max="13075" width="17.28515625" style="4" customWidth="1"/>
    <col min="13076" max="13076" width="11.42578125" style="4" customWidth="1"/>
    <col min="13077" max="13312" width="9.28515625" style="4"/>
    <col min="13313" max="13313" width="1.7109375" style="4" customWidth="1"/>
    <col min="13314" max="13314" width="19.7109375" style="4" customWidth="1"/>
    <col min="13315" max="13317" width="50.7109375" style="4" customWidth="1"/>
    <col min="13318" max="13318" width="1.42578125" style="4" customWidth="1"/>
    <col min="13319" max="13319" width="27.42578125" style="4" customWidth="1"/>
    <col min="13320" max="13320" width="29" style="4" customWidth="1"/>
    <col min="13321" max="13329" width="14.5703125" style="4" customWidth="1"/>
    <col min="13330" max="13330" width="12" style="4" customWidth="1"/>
    <col min="13331" max="13331" width="17.28515625" style="4" customWidth="1"/>
    <col min="13332" max="13332" width="11.42578125" style="4" customWidth="1"/>
    <col min="13333" max="13568" width="9.28515625" style="4"/>
    <col min="13569" max="13569" width="1.7109375" style="4" customWidth="1"/>
    <col min="13570" max="13570" width="19.7109375" style="4" customWidth="1"/>
    <col min="13571" max="13573" width="50.7109375" style="4" customWidth="1"/>
    <col min="13574" max="13574" width="1.42578125" style="4" customWidth="1"/>
    <col min="13575" max="13575" width="27.42578125" style="4" customWidth="1"/>
    <col min="13576" max="13576" width="29" style="4" customWidth="1"/>
    <col min="13577" max="13585" width="14.5703125" style="4" customWidth="1"/>
    <col min="13586" max="13586" width="12" style="4" customWidth="1"/>
    <col min="13587" max="13587" width="17.28515625" style="4" customWidth="1"/>
    <col min="13588" max="13588" width="11.42578125" style="4" customWidth="1"/>
    <col min="13589" max="13824" width="9.28515625" style="4"/>
    <col min="13825" max="13825" width="1.7109375" style="4" customWidth="1"/>
    <col min="13826" max="13826" width="19.7109375" style="4" customWidth="1"/>
    <col min="13827" max="13829" width="50.7109375" style="4" customWidth="1"/>
    <col min="13830" max="13830" width="1.42578125" style="4" customWidth="1"/>
    <col min="13831" max="13831" width="27.42578125" style="4" customWidth="1"/>
    <col min="13832" max="13832" width="29" style="4" customWidth="1"/>
    <col min="13833" max="13841" width="14.5703125" style="4" customWidth="1"/>
    <col min="13842" max="13842" width="12" style="4" customWidth="1"/>
    <col min="13843" max="13843" width="17.28515625" style="4" customWidth="1"/>
    <col min="13844" max="13844" width="11.42578125" style="4" customWidth="1"/>
    <col min="13845" max="14080" width="9.28515625" style="4"/>
    <col min="14081" max="14081" width="1.7109375" style="4" customWidth="1"/>
    <col min="14082" max="14082" width="19.7109375" style="4" customWidth="1"/>
    <col min="14083" max="14085" width="50.7109375" style="4" customWidth="1"/>
    <col min="14086" max="14086" width="1.42578125" style="4" customWidth="1"/>
    <col min="14087" max="14087" width="27.42578125" style="4" customWidth="1"/>
    <col min="14088" max="14088" width="29" style="4" customWidth="1"/>
    <col min="14089" max="14097" width="14.5703125" style="4" customWidth="1"/>
    <col min="14098" max="14098" width="12" style="4" customWidth="1"/>
    <col min="14099" max="14099" width="17.28515625" style="4" customWidth="1"/>
    <col min="14100" max="14100" width="11.42578125" style="4" customWidth="1"/>
    <col min="14101" max="14336" width="9.28515625" style="4"/>
    <col min="14337" max="14337" width="1.7109375" style="4" customWidth="1"/>
    <col min="14338" max="14338" width="19.7109375" style="4" customWidth="1"/>
    <col min="14339" max="14341" width="50.7109375" style="4" customWidth="1"/>
    <col min="14342" max="14342" width="1.42578125" style="4" customWidth="1"/>
    <col min="14343" max="14343" width="27.42578125" style="4" customWidth="1"/>
    <col min="14344" max="14344" width="29" style="4" customWidth="1"/>
    <col min="14345" max="14353" width="14.5703125" style="4" customWidth="1"/>
    <col min="14354" max="14354" width="12" style="4" customWidth="1"/>
    <col min="14355" max="14355" width="17.28515625" style="4" customWidth="1"/>
    <col min="14356" max="14356" width="11.42578125" style="4" customWidth="1"/>
    <col min="14357" max="14592" width="9.28515625" style="4"/>
    <col min="14593" max="14593" width="1.7109375" style="4" customWidth="1"/>
    <col min="14594" max="14594" width="19.7109375" style="4" customWidth="1"/>
    <col min="14595" max="14597" width="50.7109375" style="4" customWidth="1"/>
    <col min="14598" max="14598" width="1.42578125" style="4" customWidth="1"/>
    <col min="14599" max="14599" width="27.42578125" style="4" customWidth="1"/>
    <col min="14600" max="14600" width="29" style="4" customWidth="1"/>
    <col min="14601" max="14609" width="14.5703125" style="4" customWidth="1"/>
    <col min="14610" max="14610" width="12" style="4" customWidth="1"/>
    <col min="14611" max="14611" width="17.28515625" style="4" customWidth="1"/>
    <col min="14612" max="14612" width="11.42578125" style="4" customWidth="1"/>
    <col min="14613" max="14848" width="9.28515625" style="4"/>
    <col min="14849" max="14849" width="1.7109375" style="4" customWidth="1"/>
    <col min="14850" max="14850" width="19.7109375" style="4" customWidth="1"/>
    <col min="14851" max="14853" width="50.7109375" style="4" customWidth="1"/>
    <col min="14854" max="14854" width="1.42578125" style="4" customWidth="1"/>
    <col min="14855" max="14855" width="27.42578125" style="4" customWidth="1"/>
    <col min="14856" max="14856" width="29" style="4" customWidth="1"/>
    <col min="14857" max="14865" width="14.5703125" style="4" customWidth="1"/>
    <col min="14866" max="14866" width="12" style="4" customWidth="1"/>
    <col min="14867" max="14867" width="17.28515625" style="4" customWidth="1"/>
    <col min="14868" max="14868" width="11.42578125" style="4" customWidth="1"/>
    <col min="14869" max="15104" width="9.28515625" style="4"/>
    <col min="15105" max="15105" width="1.7109375" style="4" customWidth="1"/>
    <col min="15106" max="15106" width="19.7109375" style="4" customWidth="1"/>
    <col min="15107" max="15109" width="50.7109375" style="4" customWidth="1"/>
    <col min="15110" max="15110" width="1.42578125" style="4" customWidth="1"/>
    <col min="15111" max="15111" width="27.42578125" style="4" customWidth="1"/>
    <col min="15112" max="15112" width="29" style="4" customWidth="1"/>
    <col min="15113" max="15121" width="14.5703125" style="4" customWidth="1"/>
    <col min="15122" max="15122" width="12" style="4" customWidth="1"/>
    <col min="15123" max="15123" width="17.28515625" style="4" customWidth="1"/>
    <col min="15124" max="15124" width="11.42578125" style="4" customWidth="1"/>
    <col min="15125" max="15360" width="9.28515625" style="4"/>
    <col min="15361" max="15361" width="1.7109375" style="4" customWidth="1"/>
    <col min="15362" max="15362" width="19.7109375" style="4" customWidth="1"/>
    <col min="15363" max="15365" width="50.7109375" style="4" customWidth="1"/>
    <col min="15366" max="15366" width="1.42578125" style="4" customWidth="1"/>
    <col min="15367" max="15367" width="27.42578125" style="4" customWidth="1"/>
    <col min="15368" max="15368" width="29" style="4" customWidth="1"/>
    <col min="15369" max="15377" width="14.5703125" style="4" customWidth="1"/>
    <col min="15378" max="15378" width="12" style="4" customWidth="1"/>
    <col min="15379" max="15379" width="17.28515625" style="4" customWidth="1"/>
    <col min="15380" max="15380" width="11.42578125" style="4" customWidth="1"/>
    <col min="15381" max="15616" width="9.28515625" style="4"/>
    <col min="15617" max="15617" width="1.7109375" style="4" customWidth="1"/>
    <col min="15618" max="15618" width="19.7109375" style="4" customWidth="1"/>
    <col min="15619" max="15621" width="50.7109375" style="4" customWidth="1"/>
    <col min="15622" max="15622" width="1.42578125" style="4" customWidth="1"/>
    <col min="15623" max="15623" width="27.42578125" style="4" customWidth="1"/>
    <col min="15624" max="15624" width="29" style="4" customWidth="1"/>
    <col min="15625" max="15633" width="14.5703125" style="4" customWidth="1"/>
    <col min="15634" max="15634" width="12" style="4" customWidth="1"/>
    <col min="15635" max="15635" width="17.28515625" style="4" customWidth="1"/>
    <col min="15636" max="15636" width="11.42578125" style="4" customWidth="1"/>
    <col min="15637" max="15872" width="9.28515625" style="4"/>
    <col min="15873" max="15873" width="1.7109375" style="4" customWidth="1"/>
    <col min="15874" max="15874" width="19.7109375" style="4" customWidth="1"/>
    <col min="15875" max="15877" width="50.7109375" style="4" customWidth="1"/>
    <col min="15878" max="15878" width="1.42578125" style="4" customWidth="1"/>
    <col min="15879" max="15879" width="27.42578125" style="4" customWidth="1"/>
    <col min="15880" max="15880" width="29" style="4" customWidth="1"/>
    <col min="15881" max="15889" width="14.5703125" style="4" customWidth="1"/>
    <col min="15890" max="15890" width="12" style="4" customWidth="1"/>
    <col min="15891" max="15891" width="17.28515625" style="4" customWidth="1"/>
    <col min="15892" max="15892" width="11.42578125" style="4" customWidth="1"/>
    <col min="15893" max="16128" width="9.28515625" style="4"/>
    <col min="16129" max="16129" width="1.7109375" style="4" customWidth="1"/>
    <col min="16130" max="16130" width="19.7109375" style="4" customWidth="1"/>
    <col min="16131" max="16133" width="50.7109375" style="4" customWidth="1"/>
    <col min="16134" max="16134" width="1.42578125" style="4" customWidth="1"/>
    <col min="16135" max="16135" width="27.42578125" style="4" customWidth="1"/>
    <col min="16136" max="16136" width="29" style="4" customWidth="1"/>
    <col min="16137" max="16145" width="14.5703125" style="4" customWidth="1"/>
    <col min="16146" max="16146" width="12" style="4" customWidth="1"/>
    <col min="16147" max="16147" width="17.28515625" style="4" customWidth="1"/>
    <col min="16148" max="16148" width="11.42578125" style="4" customWidth="1"/>
    <col min="16149" max="16384" width="9.28515625" style="4"/>
  </cols>
  <sheetData>
    <row r="1" spans="1:21" ht="8.25" customHeight="1" x14ac:dyDescent="0.25">
      <c r="A1" s="1"/>
      <c r="B1" s="19"/>
      <c r="C1" s="22"/>
      <c r="D1" s="22"/>
      <c r="E1" s="22"/>
      <c r="F1" s="22"/>
      <c r="G1" s="22"/>
      <c r="H1" s="1"/>
      <c r="I1" s="1"/>
      <c r="J1" s="1"/>
      <c r="K1" s="1"/>
      <c r="L1" s="3"/>
      <c r="M1" s="3"/>
      <c r="N1" s="3"/>
      <c r="O1" s="3"/>
      <c r="P1" s="3"/>
      <c r="Q1" s="3"/>
      <c r="R1" s="3"/>
      <c r="S1" s="3"/>
      <c r="T1" s="3"/>
      <c r="U1" s="3"/>
    </row>
    <row r="2" spans="1:21" ht="60.4" customHeight="1" x14ac:dyDescent="0.25">
      <c r="A2" s="1"/>
      <c r="B2" s="26" t="s">
        <v>17</v>
      </c>
      <c r="C2" s="85" t="s">
        <v>65</v>
      </c>
      <c r="D2" s="86"/>
      <c r="E2" s="86"/>
      <c r="F2" s="86"/>
      <c r="G2" s="52"/>
      <c r="H2" s="5"/>
      <c r="I2" s="5"/>
      <c r="J2" s="5"/>
      <c r="K2" s="5"/>
      <c r="L2" s="6"/>
      <c r="M2" s="6"/>
      <c r="N2" s="6"/>
      <c r="O2" s="6"/>
      <c r="P2" s="6"/>
      <c r="Q2" s="6"/>
      <c r="R2" s="6"/>
      <c r="S2" s="6"/>
      <c r="T2" s="6"/>
      <c r="U2" s="3"/>
    </row>
    <row r="3" spans="1:21" ht="15" customHeight="1" x14ac:dyDescent="0.25">
      <c r="A3" s="1"/>
      <c r="B3" s="23"/>
      <c r="C3" s="23"/>
      <c r="D3" s="30"/>
      <c r="E3" s="30"/>
      <c r="F3" s="30"/>
      <c r="G3" s="30"/>
      <c r="H3" s="7"/>
      <c r="I3" s="7"/>
      <c r="J3" s="7"/>
      <c r="K3" s="7"/>
      <c r="L3" s="8"/>
      <c r="M3" s="8"/>
      <c r="N3" s="8"/>
      <c r="O3" s="8"/>
      <c r="P3" s="8"/>
      <c r="Q3" s="8"/>
      <c r="R3" s="3"/>
      <c r="S3" s="3"/>
      <c r="T3" s="3"/>
      <c r="U3" s="3"/>
    </row>
    <row r="4" spans="1:21" ht="15.75" customHeight="1" x14ac:dyDescent="0.25">
      <c r="A4" s="1"/>
      <c r="B4" s="26" t="s">
        <v>0</v>
      </c>
      <c r="C4" s="27" t="str">
        <f>'Aval Soft Skills'!C4</f>
        <v>Carla Leal Santos</v>
      </c>
      <c r="D4" s="91" t="s">
        <v>188</v>
      </c>
      <c r="E4" s="92"/>
      <c r="F4" s="92"/>
      <c r="G4" s="92"/>
      <c r="H4" s="9"/>
      <c r="I4" s="9"/>
      <c r="J4" s="9"/>
      <c r="K4" s="9"/>
      <c r="L4" s="10"/>
      <c r="M4" s="10"/>
      <c r="N4" s="10"/>
      <c r="O4" s="10"/>
      <c r="P4" s="10"/>
      <c r="Q4" s="10"/>
      <c r="R4" s="3"/>
      <c r="S4" s="3"/>
      <c r="T4" s="3"/>
      <c r="U4" s="3"/>
    </row>
    <row r="5" spans="1:21" ht="15.75" customHeight="1" x14ac:dyDescent="0.25">
      <c r="A5" s="1"/>
      <c r="B5" s="26" t="s">
        <v>1</v>
      </c>
      <c r="C5" s="28" t="str">
        <f>'Aval Soft Skills'!C5</f>
        <v>Elétrica</v>
      </c>
      <c r="D5" s="91"/>
      <c r="E5" s="92"/>
      <c r="F5" s="92"/>
      <c r="G5" s="92"/>
      <c r="H5" s="1"/>
      <c r="I5" s="1"/>
      <c r="J5" s="1"/>
      <c r="K5" s="1"/>
      <c r="L5" s="3"/>
      <c r="M5" s="3"/>
      <c r="N5" s="3"/>
      <c r="O5" s="3"/>
      <c r="P5" s="3"/>
      <c r="Q5" s="3"/>
      <c r="R5" s="3"/>
      <c r="S5" s="3"/>
      <c r="T5" s="3"/>
      <c r="U5" s="3"/>
    </row>
    <row r="6" spans="1:21" ht="15.75" customHeight="1" x14ac:dyDescent="0.25">
      <c r="A6" s="1"/>
      <c r="B6" s="26" t="s">
        <v>18</v>
      </c>
      <c r="C6" s="28" t="str">
        <f>'Aval Soft Skills'!C6</f>
        <v>Líder Técnico Área Elétrica ou Controle/Automação</v>
      </c>
      <c r="D6" s="91"/>
      <c r="E6" s="92"/>
      <c r="F6" s="92"/>
      <c r="G6" s="92"/>
      <c r="H6" s="1"/>
      <c r="I6" s="9"/>
      <c r="J6" s="9"/>
      <c r="K6" s="1"/>
      <c r="L6" s="3"/>
      <c r="M6" s="3"/>
      <c r="N6" s="3"/>
      <c r="O6" s="3"/>
      <c r="P6" s="10"/>
      <c r="Q6" s="10"/>
      <c r="R6" s="10"/>
      <c r="S6" s="10"/>
      <c r="T6" s="10"/>
      <c r="U6" s="3"/>
    </row>
    <row r="7" spans="1:21" ht="15.75" customHeight="1" x14ac:dyDescent="0.25">
      <c r="A7" s="1"/>
      <c r="B7" s="26" t="s">
        <v>2</v>
      </c>
      <c r="C7" s="28" t="str">
        <f>'Aval Soft Skills'!C7</f>
        <v>Luiz Sérgio</v>
      </c>
      <c r="D7" s="91"/>
      <c r="E7" s="92"/>
      <c r="F7" s="92"/>
      <c r="G7" s="92"/>
      <c r="H7" s="1"/>
      <c r="I7" s="1"/>
      <c r="J7" s="1"/>
      <c r="K7" s="1"/>
      <c r="L7" s="3"/>
      <c r="M7" s="3"/>
      <c r="N7" s="3"/>
      <c r="O7" s="3"/>
      <c r="P7" s="3"/>
      <c r="Q7" s="3"/>
      <c r="R7" s="3"/>
      <c r="S7" s="3"/>
      <c r="T7" s="3"/>
      <c r="U7" s="3"/>
    </row>
    <row r="8" spans="1:21" ht="15.75" customHeight="1" x14ac:dyDescent="0.25">
      <c r="A8" s="1"/>
      <c r="B8" s="26" t="s">
        <v>26</v>
      </c>
      <c r="C8" s="29" t="str">
        <f>'Aval Soft Skills'!C8</f>
        <v>___ / ___ /2024</v>
      </c>
      <c r="D8" s="91"/>
      <c r="E8" s="92"/>
      <c r="F8" s="92"/>
      <c r="G8" s="92"/>
      <c r="H8" s="9"/>
      <c r="I8" s="9"/>
      <c r="J8" s="9"/>
      <c r="K8" s="1"/>
      <c r="L8" s="3"/>
      <c r="M8" s="3"/>
      <c r="N8" s="3"/>
      <c r="O8" s="3"/>
      <c r="P8" s="10"/>
      <c r="Q8" s="3"/>
      <c r="R8" s="3"/>
      <c r="S8" s="3"/>
      <c r="T8" s="3"/>
      <c r="U8" s="3"/>
    </row>
    <row r="9" spans="1:21" ht="6" customHeight="1" x14ac:dyDescent="0.25">
      <c r="A9" s="1"/>
      <c r="B9" s="17"/>
      <c r="C9" s="17"/>
      <c r="D9" s="18"/>
      <c r="E9" s="18"/>
      <c r="F9" s="18"/>
      <c r="G9" s="18"/>
      <c r="H9" s="9"/>
      <c r="I9" s="9"/>
      <c r="J9" s="9"/>
      <c r="K9" s="1"/>
      <c r="L9" s="3"/>
      <c r="M9" s="3"/>
      <c r="N9" s="3"/>
      <c r="O9" s="3"/>
      <c r="P9" s="10"/>
      <c r="Q9" s="3"/>
      <c r="R9" s="3"/>
      <c r="S9" s="3"/>
      <c r="T9" s="3"/>
      <c r="U9" s="3"/>
    </row>
    <row r="10" spans="1:21" ht="34.9" customHeight="1" x14ac:dyDescent="0.25">
      <c r="A10" s="1"/>
      <c r="B10" s="17"/>
      <c r="C10" s="54" t="s">
        <v>58</v>
      </c>
      <c r="D10" s="90" t="s">
        <v>19</v>
      </c>
      <c r="E10" s="90"/>
      <c r="F10" s="90"/>
      <c r="G10" s="41" t="s">
        <v>189</v>
      </c>
      <c r="H10" s="9"/>
      <c r="I10" s="9"/>
      <c r="J10" s="9"/>
      <c r="K10" s="1"/>
      <c r="L10" s="3"/>
      <c r="M10" s="3"/>
      <c r="N10" s="3"/>
      <c r="O10" s="3"/>
      <c r="P10" s="10"/>
      <c r="Q10" s="3"/>
      <c r="R10" s="3"/>
      <c r="S10" s="3"/>
      <c r="T10" s="3"/>
      <c r="U10" s="3"/>
    </row>
    <row r="11" spans="1:21" ht="19.899999999999999" customHeight="1" x14ac:dyDescent="0.25">
      <c r="A11" s="1"/>
      <c r="B11" s="17"/>
      <c r="C11" s="55" t="s">
        <v>3</v>
      </c>
      <c r="D11" s="95" t="s">
        <v>4</v>
      </c>
      <c r="E11" s="95"/>
      <c r="F11" s="95"/>
      <c r="G11" s="47" t="s">
        <v>190</v>
      </c>
      <c r="H11" s="9"/>
      <c r="I11" s="9"/>
      <c r="J11" s="9"/>
      <c r="K11" s="1"/>
      <c r="L11" s="3"/>
      <c r="M11" s="3"/>
      <c r="N11" s="3"/>
      <c r="O11" s="3"/>
      <c r="P11" s="10"/>
      <c r="Q11" s="3"/>
      <c r="R11" s="3"/>
      <c r="S11" s="3"/>
      <c r="T11" s="3"/>
      <c r="U11" s="3"/>
    </row>
    <row r="12" spans="1:21" ht="25.9" customHeight="1" x14ac:dyDescent="0.25">
      <c r="A12" s="1"/>
      <c r="B12" s="17"/>
      <c r="C12" s="55" t="s">
        <v>5</v>
      </c>
      <c r="D12" s="95" t="s">
        <v>6</v>
      </c>
      <c r="E12" s="95"/>
      <c r="F12" s="95"/>
      <c r="G12" s="47" t="s">
        <v>191</v>
      </c>
      <c r="H12" s="9"/>
      <c r="I12" s="9"/>
      <c r="J12" s="9"/>
      <c r="K12" s="1"/>
      <c r="L12" s="3"/>
      <c r="M12" s="3"/>
      <c r="N12" s="3"/>
      <c r="O12" s="3"/>
      <c r="P12" s="10"/>
      <c r="Q12" s="3"/>
      <c r="R12" s="3"/>
      <c r="S12" s="3"/>
      <c r="T12" s="3"/>
      <c r="U12" s="3"/>
    </row>
    <row r="13" spans="1:21" ht="25.5" customHeight="1" x14ac:dyDescent="0.25">
      <c r="A13" s="1"/>
      <c r="B13" s="17"/>
      <c r="C13" s="55" t="s">
        <v>7</v>
      </c>
      <c r="D13" s="95" t="s">
        <v>8</v>
      </c>
      <c r="E13" s="95"/>
      <c r="F13" s="95"/>
      <c r="G13" s="47" t="s">
        <v>192</v>
      </c>
      <c r="H13" s="9"/>
      <c r="I13" s="9"/>
      <c r="J13" s="9"/>
      <c r="K13" s="1"/>
      <c r="L13" s="3"/>
      <c r="M13" s="3"/>
      <c r="N13" s="3"/>
      <c r="O13" s="3"/>
      <c r="P13" s="10"/>
      <c r="Q13" s="3"/>
      <c r="R13" s="3"/>
      <c r="S13" s="3"/>
      <c r="T13" s="3"/>
      <c r="U13" s="3"/>
    </row>
    <row r="14" spans="1:21" ht="19.899999999999999" customHeight="1" x14ac:dyDescent="0.25">
      <c r="A14" s="1"/>
      <c r="B14" s="17"/>
      <c r="C14" s="55" t="s">
        <v>9</v>
      </c>
      <c r="D14" s="96"/>
      <c r="E14" s="96"/>
      <c r="F14" s="96"/>
      <c r="G14" s="48"/>
      <c r="H14" s="9"/>
      <c r="I14" s="9"/>
      <c r="J14" s="9"/>
      <c r="K14" s="1"/>
      <c r="L14" s="3"/>
      <c r="M14" s="3"/>
      <c r="N14" s="3"/>
      <c r="O14" s="3"/>
      <c r="P14" s="10"/>
      <c r="Q14" s="3"/>
      <c r="R14" s="3"/>
      <c r="S14" s="3"/>
      <c r="T14" s="3"/>
      <c r="U14" s="3"/>
    </row>
    <row r="15" spans="1:21" ht="19.899999999999999" customHeight="1" x14ac:dyDescent="0.25">
      <c r="A15" s="1"/>
      <c r="B15" s="17"/>
      <c r="C15" s="49"/>
      <c r="D15" s="56"/>
      <c r="E15" s="57"/>
      <c r="F15" s="57"/>
      <c r="G15" s="58"/>
      <c r="H15" s="9"/>
      <c r="I15" s="9"/>
      <c r="J15" s="9"/>
      <c r="K15" s="1"/>
      <c r="L15" s="3"/>
      <c r="M15" s="3"/>
      <c r="N15" s="3"/>
      <c r="O15" s="3"/>
      <c r="P15" s="10"/>
      <c r="Q15" s="3"/>
      <c r="R15" s="3"/>
      <c r="S15" s="3"/>
      <c r="T15" s="3"/>
      <c r="U15" s="3"/>
    </row>
    <row r="16" spans="1:21" ht="6" customHeight="1" x14ac:dyDescent="0.25">
      <c r="A16" s="1"/>
      <c r="B16" s="17"/>
      <c r="C16" s="17"/>
      <c r="D16" s="18"/>
      <c r="E16" s="18"/>
      <c r="F16" s="18"/>
      <c r="G16" s="18"/>
      <c r="H16" s="9"/>
      <c r="I16" s="9"/>
      <c r="J16" s="9"/>
      <c r="K16" s="1"/>
      <c r="L16" s="3"/>
      <c r="M16" s="3"/>
      <c r="N16" s="3"/>
      <c r="O16" s="3"/>
      <c r="P16" s="10"/>
      <c r="Q16" s="3"/>
      <c r="R16" s="3"/>
      <c r="S16" s="3"/>
      <c r="T16" s="3"/>
      <c r="U16" s="3"/>
    </row>
    <row r="17" spans="1:21" ht="31.15" customHeight="1" x14ac:dyDescent="0.25">
      <c r="A17" s="11"/>
      <c r="B17" s="32"/>
      <c r="C17" s="53" t="s">
        <v>69</v>
      </c>
      <c r="D17" s="33"/>
      <c r="E17" s="33"/>
      <c r="F17" s="33"/>
      <c r="G17" s="33"/>
      <c r="H17" s="12"/>
      <c r="I17" s="12"/>
      <c r="J17" s="12"/>
      <c r="K17" s="12"/>
      <c r="L17" s="13"/>
      <c r="M17" s="13"/>
      <c r="N17" s="13"/>
      <c r="O17" s="13"/>
      <c r="P17" s="13"/>
      <c r="Q17" s="13"/>
      <c r="S17" s="14"/>
      <c r="T17" s="14"/>
      <c r="U17" s="15"/>
    </row>
    <row r="18" spans="1:21" ht="18.399999999999999" customHeight="1" x14ac:dyDescent="0.25">
      <c r="A18" s="11"/>
      <c r="B18" s="34"/>
      <c r="C18" s="35"/>
      <c r="D18" s="42"/>
      <c r="E18" s="43"/>
      <c r="F18" s="42"/>
      <c r="G18" s="36"/>
      <c r="H18" s="12"/>
      <c r="I18" s="12"/>
      <c r="J18" s="12"/>
      <c r="K18" s="12"/>
      <c r="L18" s="13"/>
      <c r="M18" s="13"/>
      <c r="N18" s="13"/>
      <c r="O18" s="13"/>
      <c r="P18" s="13"/>
      <c r="Q18" s="13"/>
      <c r="S18" s="14"/>
      <c r="T18" s="14"/>
      <c r="U18" s="15"/>
    </row>
    <row r="19" spans="1:21" ht="18.399999999999999" customHeight="1" x14ac:dyDescent="0.25">
      <c r="A19" s="11"/>
      <c r="B19" s="34"/>
      <c r="C19" s="36"/>
      <c r="D19" s="43"/>
      <c r="E19" s="43"/>
      <c r="F19" s="43"/>
      <c r="G19" s="36"/>
      <c r="H19" s="16"/>
      <c r="I19" s="16"/>
      <c r="J19" s="16"/>
      <c r="K19" s="16"/>
      <c r="L19" s="14"/>
      <c r="M19" s="14"/>
      <c r="N19" s="14"/>
      <c r="O19" s="14"/>
      <c r="P19" s="14"/>
      <c r="Q19" s="14"/>
      <c r="S19" s="14"/>
      <c r="T19" s="14"/>
      <c r="U19" s="15"/>
    </row>
    <row r="20" spans="1:21" ht="18.399999999999999" customHeight="1" x14ac:dyDescent="0.25">
      <c r="A20" s="11"/>
      <c r="B20" s="34"/>
      <c r="C20" s="35"/>
      <c r="D20" s="42"/>
      <c r="E20" s="42"/>
      <c r="F20" s="42"/>
      <c r="G20" s="35"/>
      <c r="H20" s="16"/>
      <c r="I20" s="16"/>
      <c r="J20" s="16"/>
      <c r="K20" s="16"/>
      <c r="L20" s="14"/>
      <c r="M20" s="14"/>
      <c r="N20" s="14"/>
      <c r="O20" s="14"/>
      <c r="P20" s="14"/>
      <c r="Q20" s="14"/>
      <c r="S20" s="14"/>
      <c r="T20" s="14"/>
      <c r="U20" s="15"/>
    </row>
    <row r="21" spans="1:21" ht="18.399999999999999" customHeight="1" x14ac:dyDescent="0.25">
      <c r="A21" s="11"/>
      <c r="B21" s="34"/>
      <c r="C21" s="38"/>
      <c r="D21" s="44"/>
      <c r="E21" s="45"/>
      <c r="F21" s="44"/>
      <c r="G21" s="39"/>
      <c r="H21" s="16"/>
      <c r="I21" s="16"/>
      <c r="J21" s="16"/>
      <c r="K21" s="16"/>
      <c r="L21" s="14"/>
      <c r="M21" s="14"/>
      <c r="N21" s="14"/>
      <c r="O21" s="14"/>
      <c r="P21" s="14"/>
      <c r="Q21" s="14"/>
      <c r="S21" s="14"/>
      <c r="T21" s="14"/>
      <c r="U21" s="15"/>
    </row>
    <row r="22" spans="1:21" ht="18.399999999999999" customHeight="1" x14ac:dyDescent="0.25">
      <c r="A22" s="11"/>
      <c r="B22" s="34"/>
      <c r="C22" s="35"/>
      <c r="D22" s="42"/>
      <c r="E22" s="43"/>
      <c r="F22" s="42"/>
      <c r="G22" s="36"/>
      <c r="H22" s="12"/>
      <c r="I22" s="12"/>
      <c r="J22" s="12"/>
      <c r="K22" s="12"/>
      <c r="L22" s="13"/>
      <c r="M22" s="13"/>
      <c r="N22" s="13"/>
      <c r="O22" s="13"/>
      <c r="P22" s="13"/>
      <c r="Q22" s="13"/>
      <c r="S22" s="14"/>
      <c r="T22" s="14"/>
      <c r="U22" s="15"/>
    </row>
    <row r="23" spans="1:21" ht="18.399999999999999" customHeight="1" x14ac:dyDescent="0.25">
      <c r="A23" s="11"/>
      <c r="B23" s="34"/>
      <c r="C23" s="36"/>
      <c r="D23" s="43"/>
      <c r="E23" s="43"/>
      <c r="F23" s="43"/>
      <c r="G23" s="36"/>
      <c r="H23" s="16"/>
      <c r="I23" s="16"/>
      <c r="J23" s="16"/>
      <c r="K23" s="16"/>
      <c r="L23" s="14"/>
      <c r="M23" s="14"/>
      <c r="N23" s="14"/>
      <c r="O23" s="14"/>
      <c r="P23" s="14"/>
      <c r="Q23" s="14"/>
      <c r="S23" s="14"/>
      <c r="T23" s="14"/>
      <c r="U23" s="15"/>
    </row>
    <row r="24" spans="1:21" ht="18.399999999999999" customHeight="1" x14ac:dyDescent="0.25">
      <c r="A24" s="11"/>
      <c r="B24" s="34"/>
      <c r="C24" s="35"/>
      <c r="D24" s="42"/>
      <c r="E24" s="42"/>
      <c r="F24" s="42"/>
      <c r="G24" s="35"/>
      <c r="H24" s="16"/>
      <c r="I24" s="16"/>
      <c r="J24" s="16"/>
      <c r="K24" s="16"/>
      <c r="L24" s="14"/>
      <c r="M24" s="14"/>
      <c r="N24" s="14"/>
      <c r="O24" s="14"/>
      <c r="P24" s="14"/>
      <c r="Q24" s="14"/>
      <c r="S24" s="14"/>
      <c r="T24" s="14"/>
      <c r="U24" s="15"/>
    </row>
    <row r="25" spans="1:21" ht="18.399999999999999" customHeight="1" x14ac:dyDescent="0.25">
      <c r="A25" s="11"/>
      <c r="B25" s="34"/>
      <c r="C25" s="38"/>
      <c r="D25" s="44"/>
      <c r="E25" s="45"/>
      <c r="F25" s="44"/>
      <c r="G25" s="39"/>
      <c r="H25" s="16"/>
      <c r="I25" s="16"/>
      <c r="J25" s="16"/>
      <c r="K25" s="16"/>
      <c r="L25" s="14"/>
      <c r="M25" s="14"/>
      <c r="N25" s="14"/>
      <c r="O25" s="14"/>
      <c r="P25" s="14"/>
      <c r="Q25" s="14"/>
      <c r="S25" s="14"/>
      <c r="T25" s="14"/>
      <c r="U25" s="15"/>
    </row>
    <row r="26" spans="1:21" ht="31.15" customHeight="1" x14ac:dyDescent="0.25">
      <c r="A26" s="11"/>
      <c r="B26" s="32"/>
      <c r="C26" s="53" t="s">
        <v>68</v>
      </c>
      <c r="D26" s="33"/>
      <c r="E26" s="33"/>
      <c r="F26" s="33"/>
      <c r="G26" s="33"/>
      <c r="H26" s="12"/>
      <c r="I26" s="12"/>
      <c r="J26" s="12"/>
      <c r="K26" s="12"/>
      <c r="L26" s="13"/>
      <c r="M26" s="13"/>
      <c r="N26" s="13"/>
      <c r="O26" s="13"/>
      <c r="P26" s="13"/>
      <c r="Q26" s="13"/>
      <c r="S26" s="14"/>
      <c r="T26" s="14"/>
      <c r="U26" s="15"/>
    </row>
    <row r="27" spans="1:21" ht="18.399999999999999" customHeight="1" x14ac:dyDescent="0.25">
      <c r="A27" s="11"/>
      <c r="B27" s="94" t="s">
        <v>10</v>
      </c>
      <c r="C27" s="38"/>
      <c r="D27" s="44"/>
      <c r="E27" s="44"/>
      <c r="F27" s="44"/>
      <c r="G27" s="38"/>
      <c r="H27" s="16"/>
      <c r="I27" s="16"/>
      <c r="J27" s="16"/>
      <c r="K27" s="16"/>
      <c r="L27" s="14"/>
      <c r="M27" s="14"/>
      <c r="N27" s="14"/>
      <c r="O27" s="14"/>
      <c r="P27" s="14"/>
      <c r="Q27" s="14"/>
      <c r="S27" s="14"/>
      <c r="T27" s="14"/>
      <c r="U27" s="15"/>
    </row>
    <row r="28" spans="1:21" ht="18.399999999999999" customHeight="1" x14ac:dyDescent="0.25">
      <c r="A28" s="11"/>
      <c r="B28" s="94"/>
      <c r="C28" s="35"/>
      <c r="D28" s="42"/>
      <c r="E28" s="43"/>
      <c r="F28" s="42"/>
      <c r="G28" s="36"/>
      <c r="H28" s="12"/>
      <c r="I28" s="12"/>
      <c r="J28" s="12"/>
      <c r="K28" s="12"/>
      <c r="L28" s="13"/>
      <c r="M28" s="13"/>
      <c r="N28" s="13"/>
      <c r="O28" s="13"/>
      <c r="P28" s="13"/>
      <c r="Q28" s="13"/>
      <c r="S28" s="14"/>
      <c r="T28" s="14"/>
      <c r="U28" s="15"/>
    </row>
    <row r="29" spans="1:21" ht="18.399999999999999" customHeight="1" x14ac:dyDescent="0.25">
      <c r="A29" s="11"/>
      <c r="B29" s="34"/>
      <c r="C29" s="36"/>
      <c r="D29" s="43"/>
      <c r="E29" s="43"/>
      <c r="F29" s="43"/>
      <c r="G29" s="36"/>
      <c r="H29" s="16"/>
      <c r="I29" s="16"/>
      <c r="J29" s="16"/>
      <c r="K29" s="16"/>
      <c r="L29" s="14"/>
      <c r="M29" s="14"/>
      <c r="N29" s="14"/>
      <c r="O29" s="14"/>
      <c r="P29" s="14"/>
      <c r="Q29" s="14"/>
      <c r="S29" s="14"/>
      <c r="T29" s="14"/>
      <c r="U29" s="15"/>
    </row>
    <row r="30" spans="1:21" ht="18.399999999999999" customHeight="1" x14ac:dyDescent="0.25">
      <c r="A30" s="11"/>
      <c r="B30" s="94" t="s">
        <v>11</v>
      </c>
      <c r="C30" s="40"/>
      <c r="D30" s="46"/>
      <c r="E30" s="46"/>
      <c r="F30" s="46"/>
      <c r="G30" s="40"/>
      <c r="H30" s="16"/>
      <c r="I30" s="16"/>
      <c r="J30" s="16"/>
      <c r="K30" s="16"/>
      <c r="L30" s="14"/>
      <c r="M30" s="14"/>
      <c r="N30" s="14"/>
      <c r="O30" s="14"/>
      <c r="P30" s="14"/>
      <c r="Q30" s="14"/>
      <c r="S30" s="14"/>
      <c r="T30" s="14"/>
      <c r="U30" s="15"/>
    </row>
    <row r="31" spans="1:21" ht="18.399999999999999" customHeight="1" x14ac:dyDescent="0.25">
      <c r="A31" s="11"/>
      <c r="B31" s="94"/>
      <c r="C31" s="35"/>
      <c r="D31" s="42"/>
      <c r="E31" s="43"/>
      <c r="F31" s="42"/>
      <c r="G31" s="36"/>
      <c r="H31" s="12"/>
      <c r="I31" s="12"/>
      <c r="J31" s="12"/>
      <c r="K31" s="12"/>
      <c r="L31" s="13"/>
      <c r="M31" s="13"/>
      <c r="N31" s="13"/>
      <c r="O31" s="13"/>
      <c r="P31" s="13"/>
      <c r="Q31" s="13"/>
      <c r="S31" s="14"/>
      <c r="T31" s="14"/>
      <c r="U31" s="15"/>
    </row>
    <row r="32" spans="1:21" ht="18.399999999999999" customHeight="1" x14ac:dyDescent="0.25">
      <c r="A32" s="11"/>
      <c r="B32" s="34"/>
      <c r="C32" s="36"/>
      <c r="D32" s="43"/>
      <c r="E32" s="43"/>
      <c r="F32" s="43"/>
      <c r="G32" s="36"/>
      <c r="H32" s="16"/>
      <c r="I32" s="16"/>
      <c r="J32" s="16"/>
      <c r="K32" s="16"/>
      <c r="L32" s="14"/>
      <c r="M32" s="14"/>
      <c r="N32" s="14"/>
      <c r="O32" s="14"/>
      <c r="P32" s="14"/>
      <c r="Q32" s="14"/>
      <c r="S32" s="14"/>
      <c r="T32" s="14"/>
      <c r="U32" s="15"/>
    </row>
    <row r="33" spans="1:21" ht="18.399999999999999" customHeight="1" x14ac:dyDescent="0.25">
      <c r="A33" s="11"/>
      <c r="B33" s="34" t="s">
        <v>12</v>
      </c>
      <c r="C33" s="40"/>
      <c r="D33" s="46"/>
      <c r="E33" s="46"/>
      <c r="F33" s="46"/>
      <c r="G33" s="40"/>
      <c r="H33" s="16"/>
      <c r="I33" s="16"/>
      <c r="J33" s="16"/>
      <c r="K33" s="16"/>
      <c r="L33" s="14"/>
      <c r="M33" s="14"/>
      <c r="N33" s="14"/>
      <c r="O33" s="14"/>
      <c r="P33" s="14"/>
      <c r="Q33" s="14"/>
      <c r="S33" s="14"/>
      <c r="T33" s="14"/>
      <c r="U33" s="15"/>
    </row>
    <row r="34" spans="1:21" ht="18.399999999999999" customHeight="1" x14ac:dyDescent="0.25">
      <c r="A34" s="11"/>
      <c r="B34" s="34"/>
      <c r="C34" s="35"/>
      <c r="D34" s="42"/>
      <c r="E34" s="43"/>
      <c r="F34" s="42"/>
      <c r="G34" s="36"/>
      <c r="H34" s="12"/>
      <c r="I34" s="12"/>
      <c r="J34" s="12"/>
      <c r="K34" s="12"/>
      <c r="L34" s="13"/>
      <c r="M34" s="13"/>
      <c r="N34" s="13"/>
      <c r="O34" s="13"/>
      <c r="P34" s="13"/>
      <c r="Q34" s="13"/>
      <c r="S34" s="14"/>
      <c r="T34" s="14"/>
      <c r="U34" s="15"/>
    </row>
    <row r="35" spans="1:21" ht="31.15" customHeight="1" x14ac:dyDescent="0.25">
      <c r="A35" s="11"/>
      <c r="B35" s="32"/>
      <c r="C35" s="53" t="s">
        <v>67</v>
      </c>
      <c r="D35" s="33"/>
      <c r="E35" s="33"/>
      <c r="F35" s="33"/>
      <c r="G35" s="33"/>
      <c r="H35" s="12"/>
      <c r="I35" s="12"/>
      <c r="J35" s="12"/>
      <c r="K35" s="12"/>
      <c r="L35" s="13"/>
      <c r="M35" s="13"/>
      <c r="N35" s="13"/>
      <c r="O35" s="13"/>
      <c r="P35" s="13"/>
      <c r="Q35" s="13"/>
      <c r="S35" s="14"/>
      <c r="T35" s="14"/>
      <c r="U35" s="15"/>
    </row>
    <row r="36" spans="1:21" ht="18.399999999999999" customHeight="1" x14ac:dyDescent="0.25">
      <c r="A36" s="11"/>
      <c r="B36" s="94" t="s">
        <v>10</v>
      </c>
      <c r="C36" s="38"/>
      <c r="D36" s="44"/>
      <c r="E36" s="44"/>
      <c r="F36" s="44"/>
      <c r="G36" s="38"/>
      <c r="H36" s="16"/>
      <c r="I36" s="16"/>
      <c r="J36" s="16"/>
      <c r="K36" s="16"/>
      <c r="L36" s="14"/>
      <c r="M36" s="14"/>
      <c r="N36" s="14"/>
      <c r="O36" s="14"/>
      <c r="P36" s="14"/>
      <c r="Q36" s="14"/>
      <c r="S36" s="14"/>
      <c r="T36" s="14"/>
      <c r="U36" s="15"/>
    </row>
    <row r="37" spans="1:21" ht="18.399999999999999" customHeight="1" x14ac:dyDescent="0.25">
      <c r="A37" s="11"/>
      <c r="B37" s="94"/>
      <c r="C37" s="35"/>
      <c r="D37" s="42"/>
      <c r="E37" s="43"/>
      <c r="F37" s="42"/>
      <c r="G37" s="36"/>
      <c r="H37" s="12"/>
      <c r="I37" s="12"/>
      <c r="J37" s="12"/>
      <c r="K37" s="12"/>
      <c r="L37" s="13"/>
      <c r="M37" s="13"/>
      <c r="N37" s="13"/>
      <c r="O37" s="13"/>
      <c r="P37" s="13"/>
      <c r="Q37" s="13"/>
      <c r="S37" s="14"/>
      <c r="T37" s="14"/>
      <c r="U37" s="15"/>
    </row>
    <row r="38" spans="1:21" ht="18.399999999999999" customHeight="1" x14ac:dyDescent="0.25">
      <c r="A38" s="11"/>
      <c r="B38" s="34"/>
      <c r="C38" s="36"/>
      <c r="D38" s="43"/>
      <c r="E38" s="43"/>
      <c r="F38" s="43"/>
      <c r="G38" s="36"/>
      <c r="H38" s="16"/>
      <c r="I38" s="16"/>
      <c r="J38" s="16"/>
      <c r="K38" s="16"/>
      <c r="L38" s="14"/>
      <c r="M38" s="14"/>
      <c r="N38" s="14"/>
      <c r="O38" s="14"/>
      <c r="P38" s="14"/>
      <c r="Q38" s="14"/>
      <c r="S38" s="14"/>
      <c r="T38" s="14"/>
      <c r="U38" s="15"/>
    </row>
    <row r="39" spans="1:21" ht="18.399999999999999" customHeight="1" x14ac:dyDescent="0.25">
      <c r="A39" s="11"/>
      <c r="B39" s="94" t="s">
        <v>11</v>
      </c>
      <c r="C39" s="40"/>
      <c r="D39" s="46"/>
      <c r="E39" s="46"/>
      <c r="F39" s="46"/>
      <c r="G39" s="40"/>
      <c r="H39" s="16"/>
      <c r="I39" s="16"/>
      <c r="J39" s="16"/>
      <c r="K39" s="16"/>
      <c r="L39" s="14"/>
      <c r="M39" s="14"/>
      <c r="N39" s="14"/>
      <c r="O39" s="14"/>
      <c r="P39" s="14"/>
      <c r="Q39" s="14"/>
      <c r="S39" s="14"/>
      <c r="T39" s="14"/>
      <c r="U39" s="15"/>
    </row>
    <row r="40" spans="1:21" ht="18.399999999999999" customHeight="1" x14ac:dyDescent="0.25">
      <c r="A40" s="11"/>
      <c r="B40" s="94"/>
      <c r="C40" s="35"/>
      <c r="D40" s="42"/>
      <c r="E40" s="43"/>
      <c r="F40" s="42"/>
      <c r="G40" s="36"/>
      <c r="H40" s="12"/>
      <c r="I40" s="12"/>
      <c r="J40" s="12"/>
      <c r="K40" s="12"/>
      <c r="L40" s="13"/>
      <c r="M40" s="13"/>
      <c r="N40" s="13"/>
      <c r="O40" s="13"/>
      <c r="P40" s="13"/>
      <c r="Q40" s="13"/>
      <c r="S40" s="14"/>
      <c r="T40" s="14"/>
      <c r="U40" s="15"/>
    </row>
    <row r="41" spans="1:21" ht="18.399999999999999" customHeight="1" x14ac:dyDescent="0.25">
      <c r="A41" s="11"/>
      <c r="B41" s="34"/>
      <c r="C41" s="36"/>
      <c r="D41" s="43"/>
      <c r="E41" s="43"/>
      <c r="F41" s="43"/>
      <c r="G41" s="36"/>
      <c r="H41" s="16"/>
      <c r="I41" s="16"/>
      <c r="J41" s="16"/>
      <c r="K41" s="16"/>
      <c r="L41" s="14"/>
      <c r="M41" s="14"/>
      <c r="N41" s="14"/>
      <c r="O41" s="14"/>
      <c r="P41" s="14"/>
      <c r="Q41" s="14"/>
      <c r="S41" s="14"/>
      <c r="T41" s="14"/>
      <c r="U41" s="15"/>
    </row>
    <row r="42" spans="1:21" ht="18.399999999999999" customHeight="1" x14ac:dyDescent="0.25">
      <c r="A42" s="11"/>
      <c r="B42" s="34" t="s">
        <v>12</v>
      </c>
      <c r="C42" s="40"/>
      <c r="D42" s="46"/>
      <c r="E42" s="46"/>
      <c r="F42" s="46"/>
      <c r="G42" s="40"/>
      <c r="H42" s="16"/>
      <c r="I42" s="16"/>
      <c r="J42" s="16"/>
      <c r="K42" s="16"/>
      <c r="L42" s="14"/>
      <c r="M42" s="14"/>
      <c r="N42" s="14"/>
      <c r="O42" s="14"/>
      <c r="P42" s="14"/>
      <c r="Q42" s="14"/>
      <c r="S42" s="14"/>
      <c r="T42" s="14"/>
      <c r="U42" s="15"/>
    </row>
    <row r="43" spans="1:21" ht="18.399999999999999" customHeight="1" x14ac:dyDescent="0.25">
      <c r="A43" s="11"/>
      <c r="B43" s="34"/>
      <c r="C43" s="35"/>
      <c r="D43" s="42"/>
      <c r="E43" s="43"/>
      <c r="F43" s="42"/>
      <c r="G43" s="36"/>
      <c r="H43" s="12"/>
      <c r="I43" s="12"/>
      <c r="J43" s="12"/>
      <c r="K43" s="12"/>
      <c r="L43" s="13"/>
      <c r="M43" s="13"/>
      <c r="N43" s="13"/>
      <c r="O43" s="13"/>
      <c r="P43" s="13"/>
      <c r="Q43" s="13"/>
      <c r="S43" s="14"/>
      <c r="T43" s="14"/>
      <c r="U43" s="15"/>
    </row>
    <row r="44" spans="1:21" ht="18.399999999999999" customHeight="1" x14ac:dyDescent="0.25">
      <c r="A44" s="11"/>
      <c r="B44" s="34"/>
      <c r="C44" s="36"/>
      <c r="D44" s="43"/>
      <c r="E44" s="43"/>
      <c r="F44" s="43"/>
      <c r="G44" s="36"/>
      <c r="H44" s="16"/>
      <c r="I44" s="16"/>
      <c r="J44" s="16"/>
      <c r="K44" s="16"/>
      <c r="L44" s="14"/>
      <c r="M44" s="14"/>
      <c r="N44" s="14"/>
      <c r="O44" s="14"/>
      <c r="P44" s="14"/>
      <c r="Q44" s="14"/>
      <c r="S44" s="14"/>
      <c r="T44" s="14"/>
      <c r="U44" s="15"/>
    </row>
    <row r="45" spans="1:21" ht="18.399999999999999" customHeight="1" x14ac:dyDescent="0.25">
      <c r="A45" s="11"/>
      <c r="B45" s="93" t="s">
        <v>13</v>
      </c>
      <c r="C45" s="40"/>
      <c r="D45" s="46"/>
      <c r="E45" s="46"/>
      <c r="F45" s="46"/>
      <c r="G45" s="40"/>
      <c r="H45" s="16"/>
      <c r="I45" s="16"/>
      <c r="J45" s="16"/>
      <c r="K45" s="16"/>
      <c r="L45" s="14"/>
      <c r="M45" s="14"/>
      <c r="N45" s="14"/>
      <c r="O45" s="14"/>
      <c r="P45" s="14"/>
      <c r="Q45" s="14"/>
      <c r="S45" s="14"/>
      <c r="T45" s="14"/>
      <c r="U45" s="15"/>
    </row>
    <row r="46" spans="1:21" ht="18.399999999999999" customHeight="1" x14ac:dyDescent="0.25">
      <c r="A46" s="11"/>
      <c r="B46" s="93"/>
      <c r="C46" s="35"/>
      <c r="D46" s="42"/>
      <c r="E46" s="43"/>
      <c r="F46" s="42"/>
      <c r="G46" s="36"/>
      <c r="H46" s="12"/>
      <c r="I46" s="12"/>
      <c r="J46" s="12"/>
      <c r="K46" s="12"/>
      <c r="L46" s="13"/>
      <c r="M46" s="13"/>
      <c r="N46" s="13"/>
      <c r="O46" s="13"/>
      <c r="P46" s="13"/>
      <c r="Q46" s="13"/>
      <c r="S46" s="14"/>
      <c r="T46" s="14"/>
      <c r="U46" s="15"/>
    </row>
    <row r="47" spans="1:21" ht="18.399999999999999" customHeight="1" x14ac:dyDescent="0.25">
      <c r="A47" s="11"/>
      <c r="B47" s="34"/>
      <c r="C47" s="36"/>
      <c r="D47" s="43"/>
      <c r="E47" s="43"/>
      <c r="F47" s="43"/>
      <c r="G47" s="36"/>
      <c r="H47" s="16"/>
      <c r="I47" s="16"/>
      <c r="J47" s="16"/>
      <c r="K47" s="16"/>
      <c r="L47" s="14"/>
      <c r="M47" s="14"/>
      <c r="N47" s="14"/>
      <c r="O47" s="14"/>
      <c r="P47" s="14"/>
      <c r="Q47" s="14"/>
      <c r="S47" s="14"/>
      <c r="T47" s="14"/>
      <c r="U47" s="15"/>
    </row>
    <row r="48" spans="1:21" ht="18.399999999999999" customHeight="1" x14ac:dyDescent="0.25">
      <c r="A48" s="11"/>
      <c r="B48" s="34" t="s">
        <v>14</v>
      </c>
      <c r="C48" s="35"/>
      <c r="D48" s="42"/>
      <c r="E48" s="42"/>
      <c r="F48" s="42"/>
      <c r="G48" s="35"/>
      <c r="H48" s="16"/>
      <c r="I48" s="16"/>
      <c r="J48" s="16"/>
      <c r="K48" s="16"/>
      <c r="L48" s="14"/>
      <c r="M48" s="14"/>
      <c r="N48" s="14"/>
      <c r="O48" s="14"/>
      <c r="P48" s="14"/>
      <c r="Q48" s="14"/>
      <c r="S48" s="14"/>
      <c r="T48" s="14"/>
      <c r="U48" s="15"/>
    </row>
    <row r="49" spans="1:21" ht="18.399999999999999" customHeight="1" x14ac:dyDescent="0.25">
      <c r="A49" s="11"/>
      <c r="B49" s="34"/>
      <c r="C49" s="35"/>
      <c r="D49" s="42"/>
      <c r="E49" s="43"/>
      <c r="F49" s="42"/>
      <c r="G49" s="36"/>
      <c r="H49" s="12"/>
      <c r="I49" s="12"/>
      <c r="J49" s="12"/>
      <c r="K49" s="12"/>
      <c r="L49" s="13"/>
      <c r="M49" s="13"/>
      <c r="N49" s="13"/>
      <c r="O49" s="13"/>
      <c r="P49" s="13"/>
      <c r="Q49" s="13"/>
      <c r="S49" s="14"/>
      <c r="T49" s="14"/>
      <c r="U49" s="15"/>
    </row>
    <row r="50" spans="1:21" ht="18.399999999999999" customHeight="1" x14ac:dyDescent="0.25">
      <c r="A50" s="11"/>
      <c r="B50" s="34"/>
      <c r="C50" s="36"/>
      <c r="D50" s="43"/>
      <c r="E50" s="43"/>
      <c r="F50" s="43"/>
      <c r="G50" s="36"/>
      <c r="H50" s="16"/>
      <c r="I50" s="16"/>
      <c r="J50" s="16"/>
      <c r="K50" s="16"/>
      <c r="L50" s="14"/>
      <c r="M50" s="14"/>
      <c r="N50" s="14"/>
      <c r="O50" s="14"/>
      <c r="P50" s="14"/>
      <c r="Q50" s="14"/>
      <c r="S50" s="14"/>
      <c r="T50" s="14"/>
      <c r="U50" s="15"/>
    </row>
    <row r="51" spans="1:21" ht="9" customHeight="1" x14ac:dyDescent="0.25">
      <c r="A51" s="1"/>
      <c r="B51" s="37"/>
      <c r="C51" s="20"/>
      <c r="D51" s="20"/>
      <c r="E51" s="20"/>
      <c r="F51" s="20"/>
      <c r="G51" s="20"/>
      <c r="H51" s="7"/>
      <c r="I51" s="7"/>
      <c r="J51" s="7"/>
      <c r="K51" s="7"/>
      <c r="L51" s="8"/>
      <c r="M51" s="8"/>
      <c r="N51" s="8"/>
      <c r="O51" s="8"/>
      <c r="P51" s="8"/>
      <c r="Q51" s="8"/>
      <c r="S51" s="3"/>
      <c r="T51" s="3"/>
      <c r="U51" s="3"/>
    </row>
    <row r="52" spans="1:21" ht="27.75" customHeight="1" x14ac:dyDescent="0.25">
      <c r="A52" s="1"/>
      <c r="B52" s="34" t="s">
        <v>197</v>
      </c>
      <c r="C52" s="21"/>
      <c r="D52" s="34" t="s">
        <v>198</v>
      </c>
      <c r="E52" s="80" t="e">
        <f>AVERAGE('Aval Soft Skills'!E31,'Aval Hard Skills'!E32)</f>
        <v>#DIV/0!</v>
      </c>
      <c r="F52" s="34"/>
      <c r="G52" s="21"/>
      <c r="H52" s="7"/>
      <c r="I52" s="7"/>
      <c r="J52" s="7"/>
      <c r="K52" s="7"/>
      <c r="L52" s="8"/>
      <c r="M52" s="8"/>
      <c r="N52" s="8"/>
      <c r="O52" s="8"/>
      <c r="P52" s="8"/>
      <c r="Q52" s="8"/>
      <c r="S52" s="3"/>
      <c r="T52" s="3"/>
      <c r="U52" s="3"/>
    </row>
    <row r="53" spans="1:21" ht="6.75" customHeight="1" x14ac:dyDescent="0.25">
      <c r="A53" s="1"/>
      <c r="B53" s="2"/>
      <c r="C53" s="1"/>
      <c r="D53" s="1"/>
      <c r="E53" s="1"/>
      <c r="F53" s="1"/>
      <c r="G53" s="1"/>
      <c r="H53" s="1"/>
      <c r="I53" s="1"/>
      <c r="J53" s="1"/>
      <c r="K53" s="1"/>
      <c r="L53" s="3"/>
      <c r="M53" s="3"/>
      <c r="N53" s="3"/>
      <c r="O53" s="3"/>
      <c r="P53" s="3"/>
      <c r="Q53" s="3"/>
      <c r="R53" s="3"/>
      <c r="S53" s="3"/>
      <c r="T53" s="3"/>
      <c r="U53" s="3"/>
    </row>
    <row r="54" spans="1:21" ht="18.75" customHeight="1" x14ac:dyDescent="0.25">
      <c r="A54" s="3"/>
      <c r="B54" s="14"/>
      <c r="C54" s="3"/>
      <c r="D54" s="3"/>
      <c r="E54" s="3"/>
      <c r="F54" s="3"/>
      <c r="G54" s="3"/>
      <c r="H54" s="3"/>
      <c r="I54" s="3"/>
      <c r="J54" s="3"/>
      <c r="K54" s="3"/>
      <c r="L54" s="3"/>
      <c r="M54" s="3"/>
      <c r="N54" s="3"/>
      <c r="O54" s="3"/>
      <c r="P54" s="3"/>
      <c r="Q54" s="3"/>
      <c r="R54" s="3"/>
      <c r="S54" s="3"/>
      <c r="T54" s="3"/>
      <c r="U54" s="3"/>
    </row>
    <row r="55" spans="1:21" ht="25.9" customHeight="1" x14ac:dyDescent="0.2">
      <c r="B55" s="24"/>
      <c r="C55" s="51"/>
      <c r="D55" s="51"/>
      <c r="E55" s="51"/>
      <c r="F55" s="24"/>
    </row>
    <row r="56" spans="1:21" ht="25.9" customHeight="1" x14ac:dyDescent="0.2">
      <c r="B56" s="24"/>
      <c r="C56" s="51"/>
      <c r="D56" s="51"/>
      <c r="E56" s="51"/>
      <c r="F56" s="24"/>
    </row>
    <row r="57" spans="1:21" ht="25.9" customHeight="1" x14ac:dyDescent="0.2">
      <c r="B57" s="24"/>
      <c r="C57" s="51"/>
      <c r="D57" s="51"/>
      <c r="E57" s="24"/>
      <c r="F57" s="24"/>
    </row>
    <row r="58" spans="1:21" ht="18.75" customHeight="1" x14ac:dyDescent="0.25"/>
    <row r="59" spans="1:21" ht="18.75" customHeight="1" x14ac:dyDescent="0.25">
      <c r="B59" s="24"/>
      <c r="C59" s="25"/>
      <c r="D59" s="50"/>
      <c r="E59" s="50"/>
    </row>
    <row r="60" spans="1:21" ht="18.75" customHeight="1" x14ac:dyDescent="0.25">
      <c r="B60" s="24"/>
      <c r="C60" s="25"/>
      <c r="D60" s="50"/>
      <c r="E60" s="50"/>
    </row>
    <row r="61" spans="1:21" ht="18.75" customHeight="1" x14ac:dyDescent="0.25">
      <c r="B61" s="24"/>
      <c r="C61" s="25"/>
      <c r="D61" s="50"/>
      <c r="E61" s="50"/>
    </row>
    <row r="62" spans="1:21" ht="18.75" customHeight="1" x14ac:dyDescent="0.25">
      <c r="B62" s="24"/>
      <c r="C62" s="25"/>
      <c r="D62" s="50"/>
      <c r="E62" s="50"/>
    </row>
    <row r="63" spans="1:21" ht="18.75" customHeight="1" x14ac:dyDescent="0.25">
      <c r="B63" s="24"/>
      <c r="C63" s="25"/>
      <c r="D63" s="50"/>
      <c r="E63" s="50"/>
    </row>
    <row r="64" spans="1:21"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spans="1:11" ht="18.75" customHeight="1" x14ac:dyDescent="0.25"/>
    <row r="114" spans="1:11" ht="18.75" customHeight="1" x14ac:dyDescent="0.25"/>
    <row r="115" spans="1:11" ht="18.75" customHeight="1" x14ac:dyDescent="0.25"/>
    <row r="116" spans="1:11" ht="18.75" customHeight="1" x14ac:dyDescent="0.25"/>
    <row r="117" spans="1:11" ht="18.75" customHeight="1" x14ac:dyDescent="0.25"/>
    <row r="118" spans="1:11" ht="18.75" customHeight="1" x14ac:dyDescent="0.25"/>
    <row r="119" spans="1:11" ht="18.75" customHeight="1" x14ac:dyDescent="0.25"/>
    <row r="120" spans="1:11" ht="18.75" customHeight="1" x14ac:dyDescent="0.25"/>
    <row r="121" spans="1:11" ht="18.75" customHeight="1" x14ac:dyDescent="0.25"/>
    <row r="122" spans="1:11" ht="18.75" customHeight="1" x14ac:dyDescent="0.25">
      <c r="A122" s="2"/>
      <c r="B122" s="2"/>
      <c r="C122" s="2"/>
      <c r="D122" s="2"/>
      <c r="E122" s="2"/>
      <c r="F122" s="2"/>
      <c r="G122" s="2"/>
      <c r="H122" s="2"/>
      <c r="I122" s="2"/>
      <c r="J122" s="2"/>
      <c r="K122" s="2"/>
    </row>
    <row r="123" spans="1:11" ht="18.75" customHeight="1" x14ac:dyDescent="0.25">
      <c r="A123" s="2"/>
      <c r="B123" s="2"/>
      <c r="C123" s="2"/>
      <c r="D123" s="2"/>
      <c r="E123" s="2"/>
      <c r="F123" s="2"/>
      <c r="G123" s="2"/>
      <c r="H123" s="2"/>
      <c r="I123" s="2"/>
      <c r="J123" s="2"/>
      <c r="K123" s="2"/>
    </row>
    <row r="124" spans="1:11" ht="18.75" customHeight="1" x14ac:dyDescent="0.25">
      <c r="A124" s="2"/>
      <c r="B124" s="2"/>
      <c r="C124" s="2"/>
      <c r="D124" s="2"/>
      <c r="E124" s="2"/>
      <c r="F124" s="2"/>
      <c r="G124" s="2"/>
      <c r="H124" s="2"/>
      <c r="I124" s="2"/>
      <c r="J124" s="2"/>
      <c r="K124" s="2"/>
    </row>
    <row r="125" spans="1:11" ht="18.75" customHeight="1" x14ac:dyDescent="0.25">
      <c r="A125" s="2"/>
      <c r="B125" s="2"/>
      <c r="C125" s="2"/>
      <c r="D125" s="2"/>
      <c r="E125" s="2"/>
      <c r="F125" s="2"/>
      <c r="G125" s="2"/>
      <c r="H125" s="2"/>
      <c r="I125" s="2"/>
      <c r="J125" s="2"/>
      <c r="K125" s="2"/>
    </row>
    <row r="126" spans="1:11" ht="18.75" customHeight="1" x14ac:dyDescent="0.25">
      <c r="A126" s="2"/>
      <c r="B126" s="2"/>
      <c r="C126" s="2"/>
      <c r="D126" s="2"/>
      <c r="E126" s="2"/>
      <c r="F126" s="2"/>
      <c r="G126" s="2"/>
      <c r="H126" s="2"/>
      <c r="I126" s="2"/>
      <c r="J126" s="2"/>
      <c r="K126" s="2"/>
    </row>
    <row r="127" spans="1:11" ht="18.75" customHeight="1" x14ac:dyDescent="0.25">
      <c r="A127" s="2"/>
      <c r="B127" s="2"/>
      <c r="C127" s="2"/>
      <c r="D127" s="2"/>
      <c r="E127" s="2"/>
      <c r="F127" s="2"/>
      <c r="G127" s="2"/>
      <c r="H127" s="2"/>
      <c r="I127" s="2"/>
      <c r="J127" s="2"/>
      <c r="K127" s="2"/>
    </row>
    <row r="128" spans="1:11" ht="18.75" customHeight="1" x14ac:dyDescent="0.25">
      <c r="A128" s="2"/>
      <c r="B128" s="2"/>
      <c r="C128" s="2"/>
      <c r="D128" s="2"/>
      <c r="E128" s="2"/>
      <c r="F128" s="2"/>
      <c r="G128" s="2"/>
      <c r="H128" s="2"/>
      <c r="I128" s="2"/>
      <c r="J128" s="2"/>
      <c r="K128" s="2"/>
    </row>
    <row r="129" spans="1:11" ht="18.75" customHeight="1" x14ac:dyDescent="0.25">
      <c r="A129" s="2"/>
      <c r="B129" s="2"/>
      <c r="C129" s="2"/>
      <c r="D129" s="2"/>
      <c r="E129" s="2"/>
      <c r="F129" s="2"/>
      <c r="G129" s="2"/>
      <c r="H129" s="2"/>
      <c r="I129" s="2"/>
      <c r="J129" s="2"/>
      <c r="K129" s="2"/>
    </row>
    <row r="130" spans="1:11" ht="18.75" customHeight="1" x14ac:dyDescent="0.25">
      <c r="A130" s="2"/>
      <c r="B130" s="2"/>
      <c r="C130" s="2"/>
      <c r="D130" s="2"/>
      <c r="E130" s="2"/>
      <c r="F130" s="2"/>
      <c r="G130" s="2"/>
      <c r="H130" s="2"/>
      <c r="I130" s="2"/>
      <c r="J130" s="2"/>
      <c r="K130" s="2"/>
    </row>
    <row r="131" spans="1:11" ht="18.75" customHeight="1" x14ac:dyDescent="0.25">
      <c r="A131" s="2"/>
      <c r="B131" s="2"/>
      <c r="C131" s="2"/>
      <c r="D131" s="2"/>
      <c r="E131" s="2"/>
      <c r="F131" s="2"/>
      <c r="G131" s="2"/>
      <c r="H131" s="2"/>
      <c r="I131" s="2"/>
      <c r="J131" s="2"/>
      <c r="K131" s="2"/>
    </row>
  </sheetData>
  <mergeCells count="12">
    <mergeCell ref="D10:F10"/>
    <mergeCell ref="C2:F2"/>
    <mergeCell ref="D4:G8"/>
    <mergeCell ref="B45:B46"/>
    <mergeCell ref="B36:B37"/>
    <mergeCell ref="D11:F11"/>
    <mergeCell ref="D12:F12"/>
    <mergeCell ref="D13:F13"/>
    <mergeCell ref="D14:F14"/>
    <mergeCell ref="B27:B28"/>
    <mergeCell ref="B30:B31"/>
    <mergeCell ref="B39:B40"/>
  </mergeCells>
  <dataValidations count="4">
    <dataValidation type="list" allowBlank="1" showInputMessage="1" showErrorMessage="1" prompt="Escolha a Competência a ser desenvolvida" sqref="F983062 IY20:IZ20 SU20:SV20 ACQ20:ACR20 AMM20:AMN20 AWI20:AWJ20 BGE20:BGF20 BQA20:BQB20 BZW20:BZX20 CJS20:CJT20 CTO20:CTP20 DDK20:DDL20 DNG20:DNH20 DXC20:DXD20 EGY20:EGZ20 EQU20:EQV20 FAQ20:FAR20 FKM20:FKN20 FUI20:FUJ20 GEE20:GEF20 GOA20:GOB20 GXW20:GXX20 HHS20:HHT20 HRO20:HRP20 IBK20:IBL20 ILG20:ILH20 IVC20:IVD20 JEY20:JEZ20 JOU20:JOV20 JYQ20:JYR20 KIM20:KIN20 KSI20:KSJ20 LCE20:LCF20 LMA20:LMB20 LVW20:LVX20 MFS20:MFT20 MPO20:MPP20 MZK20:MZL20 NJG20:NJH20 NTC20:NTD20 OCY20:OCZ20 OMU20:OMV20 OWQ20:OWR20 PGM20:PGN20 PQI20:PQJ20 QAE20:QAF20 QKA20:QKB20 QTW20:QTX20 RDS20:RDT20 RNO20:RNP20 RXK20:RXL20 SHG20:SHH20 SRC20:SRD20 TAY20:TAZ20 TKU20:TKV20 TUQ20:TUR20 UEM20:UEN20 UOI20:UOJ20 UYE20:UYF20 VIA20:VIB20 VRW20:VRX20 WBS20:WBT20 WLO20:WLP20 WVK20:WVL20 C65558:D65558 IY65558:IZ65558 SU65558:SV65558 ACQ65558:ACR65558 AMM65558:AMN65558 AWI65558:AWJ65558 BGE65558:BGF65558 BQA65558:BQB65558 BZW65558:BZX65558 CJS65558:CJT65558 CTO65558:CTP65558 DDK65558:DDL65558 DNG65558:DNH65558 DXC65558:DXD65558 EGY65558:EGZ65558 EQU65558:EQV65558 FAQ65558:FAR65558 FKM65558:FKN65558 FUI65558:FUJ65558 GEE65558:GEF65558 GOA65558:GOB65558 GXW65558:GXX65558 HHS65558:HHT65558 HRO65558:HRP65558 IBK65558:IBL65558 ILG65558:ILH65558 IVC65558:IVD65558 JEY65558:JEZ65558 JOU65558:JOV65558 JYQ65558:JYR65558 KIM65558:KIN65558 KSI65558:KSJ65558 LCE65558:LCF65558 LMA65558:LMB65558 LVW65558:LVX65558 MFS65558:MFT65558 MPO65558:MPP65558 MZK65558:MZL65558 NJG65558:NJH65558 NTC65558:NTD65558 OCY65558:OCZ65558 OMU65558:OMV65558 OWQ65558:OWR65558 PGM65558:PGN65558 PQI65558:PQJ65558 QAE65558:QAF65558 QKA65558:QKB65558 QTW65558:QTX65558 RDS65558:RDT65558 RNO65558:RNP65558 RXK65558:RXL65558 SHG65558:SHH65558 SRC65558:SRD65558 TAY65558:TAZ65558 TKU65558:TKV65558 TUQ65558:TUR65558 UEM65558:UEN65558 UOI65558:UOJ65558 UYE65558:UYF65558 VIA65558:VIB65558 VRW65558:VRX65558 WBS65558:WBT65558 WLO65558:WLP65558 WVK65558:WVL65558 C131094:D131094 IY131094:IZ131094 SU131094:SV131094 ACQ131094:ACR131094 AMM131094:AMN131094 AWI131094:AWJ131094 BGE131094:BGF131094 BQA131094:BQB131094 BZW131094:BZX131094 CJS131094:CJT131094 CTO131094:CTP131094 DDK131094:DDL131094 DNG131094:DNH131094 DXC131094:DXD131094 EGY131094:EGZ131094 EQU131094:EQV131094 FAQ131094:FAR131094 FKM131094:FKN131094 FUI131094:FUJ131094 GEE131094:GEF131094 GOA131094:GOB131094 GXW131094:GXX131094 HHS131094:HHT131094 HRO131094:HRP131094 IBK131094:IBL131094 ILG131094:ILH131094 IVC131094:IVD131094 JEY131094:JEZ131094 JOU131094:JOV131094 JYQ131094:JYR131094 KIM131094:KIN131094 KSI131094:KSJ131094 LCE131094:LCF131094 LMA131094:LMB131094 LVW131094:LVX131094 MFS131094:MFT131094 MPO131094:MPP131094 MZK131094:MZL131094 NJG131094:NJH131094 NTC131094:NTD131094 OCY131094:OCZ131094 OMU131094:OMV131094 OWQ131094:OWR131094 PGM131094:PGN131094 PQI131094:PQJ131094 QAE131094:QAF131094 QKA131094:QKB131094 QTW131094:QTX131094 RDS131094:RDT131094 RNO131094:RNP131094 RXK131094:RXL131094 SHG131094:SHH131094 SRC131094:SRD131094 TAY131094:TAZ131094 TKU131094:TKV131094 TUQ131094:TUR131094 UEM131094:UEN131094 UOI131094:UOJ131094 UYE131094:UYF131094 VIA131094:VIB131094 VRW131094:VRX131094 WBS131094:WBT131094 WLO131094:WLP131094 WVK131094:WVL131094 C196630:D196630 IY196630:IZ196630 SU196630:SV196630 ACQ196630:ACR196630 AMM196630:AMN196630 AWI196630:AWJ196630 BGE196630:BGF196630 BQA196630:BQB196630 BZW196630:BZX196630 CJS196630:CJT196630 CTO196630:CTP196630 DDK196630:DDL196630 DNG196630:DNH196630 DXC196630:DXD196630 EGY196630:EGZ196630 EQU196630:EQV196630 FAQ196630:FAR196630 FKM196630:FKN196630 FUI196630:FUJ196630 GEE196630:GEF196630 GOA196630:GOB196630 GXW196630:GXX196630 HHS196630:HHT196630 HRO196630:HRP196630 IBK196630:IBL196630 ILG196630:ILH196630 IVC196630:IVD196630 JEY196630:JEZ196630 JOU196630:JOV196630 JYQ196630:JYR196630 KIM196630:KIN196630 KSI196630:KSJ196630 LCE196630:LCF196630 LMA196630:LMB196630 LVW196630:LVX196630 MFS196630:MFT196630 MPO196630:MPP196630 MZK196630:MZL196630 NJG196630:NJH196630 NTC196630:NTD196630 OCY196630:OCZ196630 OMU196630:OMV196630 OWQ196630:OWR196630 PGM196630:PGN196630 PQI196630:PQJ196630 QAE196630:QAF196630 QKA196630:QKB196630 QTW196630:QTX196630 RDS196630:RDT196630 RNO196630:RNP196630 RXK196630:RXL196630 SHG196630:SHH196630 SRC196630:SRD196630 TAY196630:TAZ196630 TKU196630:TKV196630 TUQ196630:TUR196630 UEM196630:UEN196630 UOI196630:UOJ196630 UYE196630:UYF196630 VIA196630:VIB196630 VRW196630:VRX196630 WBS196630:WBT196630 WLO196630:WLP196630 WVK196630:WVL196630 C262166:D262166 IY262166:IZ262166 SU262166:SV262166 ACQ262166:ACR262166 AMM262166:AMN262166 AWI262166:AWJ262166 BGE262166:BGF262166 BQA262166:BQB262166 BZW262166:BZX262166 CJS262166:CJT262166 CTO262166:CTP262166 DDK262166:DDL262166 DNG262166:DNH262166 DXC262166:DXD262166 EGY262166:EGZ262166 EQU262166:EQV262166 FAQ262166:FAR262166 FKM262166:FKN262166 FUI262166:FUJ262166 GEE262166:GEF262166 GOA262166:GOB262166 GXW262166:GXX262166 HHS262166:HHT262166 HRO262166:HRP262166 IBK262166:IBL262166 ILG262166:ILH262166 IVC262166:IVD262166 JEY262166:JEZ262166 JOU262166:JOV262166 JYQ262166:JYR262166 KIM262166:KIN262166 KSI262166:KSJ262166 LCE262166:LCF262166 LMA262166:LMB262166 LVW262166:LVX262166 MFS262166:MFT262166 MPO262166:MPP262166 MZK262166:MZL262166 NJG262166:NJH262166 NTC262166:NTD262166 OCY262166:OCZ262166 OMU262166:OMV262166 OWQ262166:OWR262166 PGM262166:PGN262166 PQI262166:PQJ262166 QAE262166:QAF262166 QKA262166:QKB262166 QTW262166:QTX262166 RDS262166:RDT262166 RNO262166:RNP262166 RXK262166:RXL262166 SHG262166:SHH262166 SRC262166:SRD262166 TAY262166:TAZ262166 TKU262166:TKV262166 TUQ262166:TUR262166 UEM262166:UEN262166 UOI262166:UOJ262166 UYE262166:UYF262166 VIA262166:VIB262166 VRW262166:VRX262166 WBS262166:WBT262166 WLO262166:WLP262166 WVK262166:WVL262166 C327702:D327702 IY327702:IZ327702 SU327702:SV327702 ACQ327702:ACR327702 AMM327702:AMN327702 AWI327702:AWJ327702 BGE327702:BGF327702 BQA327702:BQB327702 BZW327702:BZX327702 CJS327702:CJT327702 CTO327702:CTP327702 DDK327702:DDL327702 DNG327702:DNH327702 DXC327702:DXD327702 EGY327702:EGZ327702 EQU327702:EQV327702 FAQ327702:FAR327702 FKM327702:FKN327702 FUI327702:FUJ327702 GEE327702:GEF327702 GOA327702:GOB327702 GXW327702:GXX327702 HHS327702:HHT327702 HRO327702:HRP327702 IBK327702:IBL327702 ILG327702:ILH327702 IVC327702:IVD327702 JEY327702:JEZ327702 JOU327702:JOV327702 JYQ327702:JYR327702 KIM327702:KIN327702 KSI327702:KSJ327702 LCE327702:LCF327702 LMA327702:LMB327702 LVW327702:LVX327702 MFS327702:MFT327702 MPO327702:MPP327702 MZK327702:MZL327702 NJG327702:NJH327702 NTC327702:NTD327702 OCY327702:OCZ327702 OMU327702:OMV327702 OWQ327702:OWR327702 PGM327702:PGN327702 PQI327702:PQJ327702 QAE327702:QAF327702 QKA327702:QKB327702 QTW327702:QTX327702 RDS327702:RDT327702 RNO327702:RNP327702 RXK327702:RXL327702 SHG327702:SHH327702 SRC327702:SRD327702 TAY327702:TAZ327702 TKU327702:TKV327702 TUQ327702:TUR327702 UEM327702:UEN327702 UOI327702:UOJ327702 UYE327702:UYF327702 VIA327702:VIB327702 VRW327702:VRX327702 WBS327702:WBT327702 WLO327702:WLP327702 WVK327702:WVL327702 C393238:D393238 IY393238:IZ393238 SU393238:SV393238 ACQ393238:ACR393238 AMM393238:AMN393238 AWI393238:AWJ393238 BGE393238:BGF393238 BQA393238:BQB393238 BZW393238:BZX393238 CJS393238:CJT393238 CTO393238:CTP393238 DDK393238:DDL393238 DNG393238:DNH393238 DXC393238:DXD393238 EGY393238:EGZ393238 EQU393238:EQV393238 FAQ393238:FAR393238 FKM393238:FKN393238 FUI393238:FUJ393238 GEE393238:GEF393238 GOA393238:GOB393238 GXW393238:GXX393238 HHS393238:HHT393238 HRO393238:HRP393238 IBK393238:IBL393238 ILG393238:ILH393238 IVC393238:IVD393238 JEY393238:JEZ393238 JOU393238:JOV393238 JYQ393238:JYR393238 KIM393238:KIN393238 KSI393238:KSJ393238 LCE393238:LCF393238 LMA393238:LMB393238 LVW393238:LVX393238 MFS393238:MFT393238 MPO393238:MPP393238 MZK393238:MZL393238 NJG393238:NJH393238 NTC393238:NTD393238 OCY393238:OCZ393238 OMU393238:OMV393238 OWQ393238:OWR393238 PGM393238:PGN393238 PQI393238:PQJ393238 QAE393238:QAF393238 QKA393238:QKB393238 QTW393238:QTX393238 RDS393238:RDT393238 RNO393238:RNP393238 RXK393238:RXL393238 SHG393238:SHH393238 SRC393238:SRD393238 TAY393238:TAZ393238 TKU393238:TKV393238 TUQ393238:TUR393238 UEM393238:UEN393238 UOI393238:UOJ393238 UYE393238:UYF393238 VIA393238:VIB393238 VRW393238:VRX393238 WBS393238:WBT393238 WLO393238:WLP393238 WVK393238:WVL393238 C458774:D458774 IY458774:IZ458774 SU458774:SV458774 ACQ458774:ACR458774 AMM458774:AMN458774 AWI458774:AWJ458774 BGE458774:BGF458774 BQA458774:BQB458774 BZW458774:BZX458774 CJS458774:CJT458774 CTO458774:CTP458774 DDK458774:DDL458774 DNG458774:DNH458774 DXC458774:DXD458774 EGY458774:EGZ458774 EQU458774:EQV458774 FAQ458774:FAR458774 FKM458774:FKN458774 FUI458774:FUJ458774 GEE458774:GEF458774 GOA458774:GOB458774 GXW458774:GXX458774 HHS458774:HHT458774 HRO458774:HRP458774 IBK458774:IBL458774 ILG458774:ILH458774 IVC458774:IVD458774 JEY458774:JEZ458774 JOU458774:JOV458774 JYQ458774:JYR458774 KIM458774:KIN458774 KSI458774:KSJ458774 LCE458774:LCF458774 LMA458774:LMB458774 LVW458774:LVX458774 MFS458774:MFT458774 MPO458774:MPP458774 MZK458774:MZL458774 NJG458774:NJH458774 NTC458774:NTD458774 OCY458774:OCZ458774 OMU458774:OMV458774 OWQ458774:OWR458774 PGM458774:PGN458774 PQI458774:PQJ458774 QAE458774:QAF458774 QKA458774:QKB458774 QTW458774:QTX458774 RDS458774:RDT458774 RNO458774:RNP458774 RXK458774:RXL458774 SHG458774:SHH458774 SRC458774:SRD458774 TAY458774:TAZ458774 TKU458774:TKV458774 TUQ458774:TUR458774 UEM458774:UEN458774 UOI458774:UOJ458774 UYE458774:UYF458774 VIA458774:VIB458774 VRW458774:VRX458774 WBS458774:WBT458774 WLO458774:WLP458774 WVK458774:WVL458774 C524310:D524310 IY524310:IZ524310 SU524310:SV524310 ACQ524310:ACR524310 AMM524310:AMN524310 AWI524310:AWJ524310 BGE524310:BGF524310 BQA524310:BQB524310 BZW524310:BZX524310 CJS524310:CJT524310 CTO524310:CTP524310 DDK524310:DDL524310 DNG524310:DNH524310 DXC524310:DXD524310 EGY524310:EGZ524310 EQU524310:EQV524310 FAQ524310:FAR524310 FKM524310:FKN524310 FUI524310:FUJ524310 GEE524310:GEF524310 GOA524310:GOB524310 GXW524310:GXX524310 HHS524310:HHT524310 HRO524310:HRP524310 IBK524310:IBL524310 ILG524310:ILH524310 IVC524310:IVD524310 JEY524310:JEZ524310 JOU524310:JOV524310 JYQ524310:JYR524310 KIM524310:KIN524310 KSI524310:KSJ524310 LCE524310:LCF524310 LMA524310:LMB524310 LVW524310:LVX524310 MFS524310:MFT524310 MPO524310:MPP524310 MZK524310:MZL524310 NJG524310:NJH524310 NTC524310:NTD524310 OCY524310:OCZ524310 OMU524310:OMV524310 OWQ524310:OWR524310 PGM524310:PGN524310 PQI524310:PQJ524310 QAE524310:QAF524310 QKA524310:QKB524310 QTW524310:QTX524310 RDS524310:RDT524310 RNO524310:RNP524310 RXK524310:RXL524310 SHG524310:SHH524310 SRC524310:SRD524310 TAY524310:TAZ524310 TKU524310:TKV524310 TUQ524310:TUR524310 UEM524310:UEN524310 UOI524310:UOJ524310 UYE524310:UYF524310 VIA524310:VIB524310 VRW524310:VRX524310 WBS524310:WBT524310 WLO524310:WLP524310 WVK524310:WVL524310 C589846:D589846 IY589846:IZ589846 SU589846:SV589846 ACQ589846:ACR589846 AMM589846:AMN589846 AWI589846:AWJ589846 BGE589846:BGF589846 BQA589846:BQB589846 BZW589846:BZX589846 CJS589846:CJT589846 CTO589846:CTP589846 DDK589846:DDL589846 DNG589846:DNH589846 DXC589846:DXD589846 EGY589846:EGZ589846 EQU589846:EQV589846 FAQ589846:FAR589846 FKM589846:FKN589846 FUI589846:FUJ589846 GEE589846:GEF589846 GOA589846:GOB589846 GXW589846:GXX589846 HHS589846:HHT589846 HRO589846:HRP589846 IBK589846:IBL589846 ILG589846:ILH589846 IVC589846:IVD589846 JEY589846:JEZ589846 JOU589846:JOV589846 JYQ589846:JYR589846 KIM589846:KIN589846 KSI589846:KSJ589846 LCE589846:LCF589846 LMA589846:LMB589846 LVW589846:LVX589846 MFS589846:MFT589846 MPO589846:MPP589846 MZK589846:MZL589846 NJG589846:NJH589846 NTC589846:NTD589846 OCY589846:OCZ589846 OMU589846:OMV589846 OWQ589846:OWR589846 PGM589846:PGN589846 PQI589846:PQJ589846 QAE589846:QAF589846 QKA589846:QKB589846 QTW589846:QTX589846 RDS589846:RDT589846 RNO589846:RNP589846 RXK589846:RXL589846 SHG589846:SHH589846 SRC589846:SRD589846 TAY589846:TAZ589846 TKU589846:TKV589846 TUQ589846:TUR589846 UEM589846:UEN589846 UOI589846:UOJ589846 UYE589846:UYF589846 VIA589846:VIB589846 VRW589846:VRX589846 WBS589846:WBT589846 WLO589846:WLP589846 WVK589846:WVL589846 C655382:D655382 IY655382:IZ655382 SU655382:SV655382 ACQ655382:ACR655382 AMM655382:AMN655382 AWI655382:AWJ655382 BGE655382:BGF655382 BQA655382:BQB655382 BZW655382:BZX655382 CJS655382:CJT655382 CTO655382:CTP655382 DDK655382:DDL655382 DNG655382:DNH655382 DXC655382:DXD655382 EGY655382:EGZ655382 EQU655382:EQV655382 FAQ655382:FAR655382 FKM655382:FKN655382 FUI655382:FUJ655382 GEE655382:GEF655382 GOA655382:GOB655382 GXW655382:GXX655382 HHS655382:HHT655382 HRO655382:HRP655382 IBK655382:IBL655382 ILG655382:ILH655382 IVC655382:IVD655382 JEY655382:JEZ655382 JOU655382:JOV655382 JYQ655382:JYR655382 KIM655382:KIN655382 KSI655382:KSJ655382 LCE655382:LCF655382 LMA655382:LMB655382 LVW655382:LVX655382 MFS655382:MFT655382 MPO655382:MPP655382 MZK655382:MZL655382 NJG655382:NJH655382 NTC655382:NTD655382 OCY655382:OCZ655382 OMU655382:OMV655382 OWQ655382:OWR655382 PGM655382:PGN655382 PQI655382:PQJ655382 QAE655382:QAF655382 QKA655382:QKB655382 QTW655382:QTX655382 RDS655382:RDT655382 RNO655382:RNP655382 RXK655382:RXL655382 SHG655382:SHH655382 SRC655382:SRD655382 TAY655382:TAZ655382 TKU655382:TKV655382 TUQ655382:TUR655382 UEM655382:UEN655382 UOI655382:UOJ655382 UYE655382:UYF655382 VIA655382:VIB655382 VRW655382:VRX655382 WBS655382:WBT655382 WLO655382:WLP655382 WVK655382:WVL655382 C720918:D720918 IY720918:IZ720918 SU720918:SV720918 ACQ720918:ACR720918 AMM720918:AMN720918 AWI720918:AWJ720918 BGE720918:BGF720918 BQA720918:BQB720918 BZW720918:BZX720918 CJS720918:CJT720918 CTO720918:CTP720918 DDK720918:DDL720918 DNG720918:DNH720918 DXC720918:DXD720918 EGY720918:EGZ720918 EQU720918:EQV720918 FAQ720918:FAR720918 FKM720918:FKN720918 FUI720918:FUJ720918 GEE720918:GEF720918 GOA720918:GOB720918 GXW720918:GXX720918 HHS720918:HHT720918 HRO720918:HRP720918 IBK720918:IBL720918 ILG720918:ILH720918 IVC720918:IVD720918 JEY720918:JEZ720918 JOU720918:JOV720918 JYQ720918:JYR720918 KIM720918:KIN720918 KSI720918:KSJ720918 LCE720918:LCF720918 LMA720918:LMB720918 LVW720918:LVX720918 MFS720918:MFT720918 MPO720918:MPP720918 MZK720918:MZL720918 NJG720918:NJH720918 NTC720918:NTD720918 OCY720918:OCZ720918 OMU720918:OMV720918 OWQ720918:OWR720918 PGM720918:PGN720918 PQI720918:PQJ720918 QAE720918:QAF720918 QKA720918:QKB720918 QTW720918:QTX720918 RDS720918:RDT720918 RNO720918:RNP720918 RXK720918:RXL720918 SHG720918:SHH720918 SRC720918:SRD720918 TAY720918:TAZ720918 TKU720918:TKV720918 TUQ720918:TUR720918 UEM720918:UEN720918 UOI720918:UOJ720918 UYE720918:UYF720918 VIA720918:VIB720918 VRW720918:VRX720918 WBS720918:WBT720918 WLO720918:WLP720918 WVK720918:WVL720918 C786454:D786454 IY786454:IZ786454 SU786454:SV786454 ACQ786454:ACR786454 AMM786454:AMN786454 AWI786454:AWJ786454 BGE786454:BGF786454 BQA786454:BQB786454 BZW786454:BZX786454 CJS786454:CJT786454 CTO786454:CTP786454 DDK786454:DDL786454 DNG786454:DNH786454 DXC786454:DXD786454 EGY786454:EGZ786454 EQU786454:EQV786454 FAQ786454:FAR786454 FKM786454:FKN786454 FUI786454:FUJ786454 GEE786454:GEF786454 GOA786454:GOB786454 GXW786454:GXX786454 HHS786454:HHT786454 HRO786454:HRP786454 IBK786454:IBL786454 ILG786454:ILH786454 IVC786454:IVD786454 JEY786454:JEZ786454 JOU786454:JOV786454 JYQ786454:JYR786454 KIM786454:KIN786454 KSI786454:KSJ786454 LCE786454:LCF786454 LMA786454:LMB786454 LVW786454:LVX786454 MFS786454:MFT786454 MPO786454:MPP786454 MZK786454:MZL786454 NJG786454:NJH786454 NTC786454:NTD786454 OCY786454:OCZ786454 OMU786454:OMV786454 OWQ786454:OWR786454 PGM786454:PGN786454 PQI786454:PQJ786454 QAE786454:QAF786454 QKA786454:QKB786454 QTW786454:QTX786454 RDS786454:RDT786454 RNO786454:RNP786454 RXK786454:RXL786454 SHG786454:SHH786454 SRC786454:SRD786454 TAY786454:TAZ786454 TKU786454:TKV786454 TUQ786454:TUR786454 UEM786454:UEN786454 UOI786454:UOJ786454 UYE786454:UYF786454 VIA786454:VIB786454 VRW786454:VRX786454 WBS786454:WBT786454 WLO786454:WLP786454 WVK786454:WVL786454 C851990:D851990 IY851990:IZ851990 SU851990:SV851990 ACQ851990:ACR851990 AMM851990:AMN851990 AWI851990:AWJ851990 BGE851990:BGF851990 BQA851990:BQB851990 BZW851990:BZX851990 CJS851990:CJT851990 CTO851990:CTP851990 DDK851990:DDL851990 DNG851990:DNH851990 DXC851990:DXD851990 EGY851990:EGZ851990 EQU851990:EQV851990 FAQ851990:FAR851990 FKM851990:FKN851990 FUI851990:FUJ851990 GEE851990:GEF851990 GOA851990:GOB851990 GXW851990:GXX851990 HHS851990:HHT851990 HRO851990:HRP851990 IBK851990:IBL851990 ILG851990:ILH851990 IVC851990:IVD851990 JEY851990:JEZ851990 JOU851990:JOV851990 JYQ851990:JYR851990 KIM851990:KIN851990 KSI851990:KSJ851990 LCE851990:LCF851990 LMA851990:LMB851990 LVW851990:LVX851990 MFS851990:MFT851990 MPO851990:MPP851990 MZK851990:MZL851990 NJG851990:NJH851990 NTC851990:NTD851990 OCY851990:OCZ851990 OMU851990:OMV851990 OWQ851990:OWR851990 PGM851990:PGN851990 PQI851990:PQJ851990 QAE851990:QAF851990 QKA851990:QKB851990 QTW851990:QTX851990 RDS851990:RDT851990 RNO851990:RNP851990 RXK851990:RXL851990 SHG851990:SHH851990 SRC851990:SRD851990 TAY851990:TAZ851990 TKU851990:TKV851990 TUQ851990:TUR851990 UEM851990:UEN851990 UOI851990:UOJ851990 UYE851990:UYF851990 VIA851990:VIB851990 VRW851990:VRX851990 WBS851990:WBT851990 WLO851990:WLP851990 WVK851990:WVL851990 C917526:D917526 IY917526:IZ917526 SU917526:SV917526 ACQ917526:ACR917526 AMM917526:AMN917526 AWI917526:AWJ917526 BGE917526:BGF917526 BQA917526:BQB917526 BZW917526:BZX917526 CJS917526:CJT917526 CTO917526:CTP917526 DDK917526:DDL917526 DNG917526:DNH917526 DXC917526:DXD917526 EGY917526:EGZ917526 EQU917526:EQV917526 FAQ917526:FAR917526 FKM917526:FKN917526 FUI917526:FUJ917526 GEE917526:GEF917526 GOA917526:GOB917526 GXW917526:GXX917526 HHS917526:HHT917526 HRO917526:HRP917526 IBK917526:IBL917526 ILG917526:ILH917526 IVC917526:IVD917526 JEY917526:JEZ917526 JOU917526:JOV917526 JYQ917526:JYR917526 KIM917526:KIN917526 KSI917526:KSJ917526 LCE917526:LCF917526 LMA917526:LMB917526 LVW917526:LVX917526 MFS917526:MFT917526 MPO917526:MPP917526 MZK917526:MZL917526 NJG917526:NJH917526 NTC917526:NTD917526 OCY917526:OCZ917526 OMU917526:OMV917526 OWQ917526:OWR917526 PGM917526:PGN917526 PQI917526:PQJ917526 QAE917526:QAF917526 QKA917526:QKB917526 QTW917526:QTX917526 RDS917526:RDT917526 RNO917526:RNP917526 RXK917526:RXL917526 SHG917526:SHH917526 SRC917526:SRD917526 TAY917526:TAZ917526 TKU917526:TKV917526 TUQ917526:TUR917526 UEM917526:UEN917526 UOI917526:UOJ917526 UYE917526:UYF917526 VIA917526:VIB917526 VRW917526:VRX917526 WBS917526:WBT917526 WLO917526:WLP917526 WVK917526:WVL917526 C983062:D983062 IY983062:IZ983062 SU983062:SV983062 ACQ983062:ACR983062 AMM983062:AMN983062 AWI983062:AWJ983062 BGE983062:BGF983062 BQA983062:BQB983062 BZW983062:BZX983062 CJS983062:CJT983062 CTO983062:CTP983062 DDK983062:DDL983062 DNG983062:DNH983062 DXC983062:DXD983062 EGY983062:EGZ983062 EQU983062:EQV983062 FAQ983062:FAR983062 FKM983062:FKN983062 FUI983062:FUJ983062 GEE983062:GEF983062 GOA983062:GOB983062 GXW983062:GXX983062 HHS983062:HHT983062 HRO983062:HRP983062 IBK983062:IBL983062 ILG983062:ILH983062 IVC983062:IVD983062 JEY983062:JEZ983062 JOU983062:JOV983062 JYQ983062:JYR983062 KIM983062:KIN983062 KSI983062:KSJ983062 LCE983062:LCF983062 LMA983062:LMB983062 LVW983062:LVX983062 MFS983062:MFT983062 MPO983062:MPP983062 MZK983062:MZL983062 NJG983062:NJH983062 NTC983062:NTD983062 OCY983062:OCZ983062 OMU983062:OMV983062 OWQ983062:OWR983062 PGM983062:PGN983062 PQI983062:PQJ983062 QAE983062:QAF983062 QKA983062:QKB983062 QTW983062:QTX983062 RDS983062:RDT983062 RNO983062:RNP983062 RXK983062:RXL983062 SHG983062:SHH983062 SRC983062:SRD983062 TAY983062:TAZ983062 TKU983062:TKV983062 TUQ983062:TUR983062 UEM983062:UEN983062 UOI983062:UOJ983062 UYE983062:UYF983062 VIA983062:VIB983062 VRW983062:VRX983062 WBS983062:WBT983062 WLO983062:WLP983062 WVK983062:WVL983062 F20 F65558 F131094 F196630 F262166 F327702 F393238 F458774 F524310 F589846 F655382 F720918 F786454 F851990 F917526 C20:D20 IY24:IZ24 SU24:SV24 ACQ24:ACR24 AMM24:AMN24 AWI24:AWJ24 BGE24:BGF24 BQA24:BQB24 BZW24:BZX24 CJS24:CJT24 CTO24:CTP24 DDK24:DDL24 DNG24:DNH24 DXC24:DXD24 EGY24:EGZ24 EQU24:EQV24 FAQ24:FAR24 FKM24:FKN24 FUI24:FUJ24 GEE24:GEF24 GOA24:GOB24 GXW24:GXX24 HHS24:HHT24 HRO24:HRP24 IBK24:IBL24 ILG24:ILH24 IVC24:IVD24 JEY24:JEZ24 JOU24:JOV24 JYQ24:JYR24 KIM24:KIN24 KSI24:KSJ24 LCE24:LCF24 LMA24:LMB24 LVW24:LVX24 MFS24:MFT24 MPO24:MPP24 MZK24:MZL24 NJG24:NJH24 NTC24:NTD24 OCY24:OCZ24 OMU24:OMV24 OWQ24:OWR24 PGM24:PGN24 PQI24:PQJ24 QAE24:QAF24 QKA24:QKB24 QTW24:QTX24 RDS24:RDT24 RNO24:RNP24 RXK24:RXL24 SHG24:SHH24 SRC24:SRD24 TAY24:TAZ24 TKU24:TKV24 TUQ24:TUR24 UEM24:UEN24 UOI24:UOJ24 UYE24:UYF24 VIA24:VIB24 VRW24:VRX24 WBS24:WBT24 WLO24:WLP24 WVK24:WVL24 F24 C24:D24" xr:uid="{00000000-0002-0000-0200-000000000000}">
      <formula1>#REF!</formula1>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44:T65544 JL65544:JP65544 TH65544:TL65544 ADD65544:ADH65544 AMZ65544:AND65544 AWV65544:AWZ65544 BGR65544:BGV65544 BQN65544:BQR65544 CAJ65544:CAN65544 CKF65544:CKJ65544 CUB65544:CUF65544 DDX65544:DEB65544 DNT65544:DNX65544 DXP65544:DXT65544 EHL65544:EHP65544 ERH65544:ERL65544 FBD65544:FBH65544 FKZ65544:FLD65544 FUV65544:FUZ65544 GER65544:GEV65544 GON65544:GOR65544 GYJ65544:GYN65544 HIF65544:HIJ65544 HSB65544:HSF65544 IBX65544:ICB65544 ILT65544:ILX65544 IVP65544:IVT65544 JFL65544:JFP65544 JPH65544:JPL65544 JZD65544:JZH65544 KIZ65544:KJD65544 KSV65544:KSZ65544 LCR65544:LCV65544 LMN65544:LMR65544 LWJ65544:LWN65544 MGF65544:MGJ65544 MQB65544:MQF65544 MZX65544:NAB65544 NJT65544:NJX65544 NTP65544:NTT65544 ODL65544:ODP65544 ONH65544:ONL65544 OXD65544:OXH65544 PGZ65544:PHD65544 PQV65544:PQZ65544 QAR65544:QAV65544 QKN65544:QKR65544 QUJ65544:QUN65544 REF65544:REJ65544 ROB65544:ROF65544 RXX65544:RYB65544 SHT65544:SHX65544 SRP65544:SRT65544 TBL65544:TBP65544 TLH65544:TLL65544 TVD65544:TVH65544 UEZ65544:UFD65544 UOV65544:UOZ65544 UYR65544:UYV65544 VIN65544:VIR65544 VSJ65544:VSN65544 WCF65544:WCJ65544 WMB65544:WMF65544 WVX65544:WWB65544 P131080:T131080 JL131080:JP131080 TH131080:TL131080 ADD131080:ADH131080 AMZ131080:AND131080 AWV131080:AWZ131080 BGR131080:BGV131080 BQN131080:BQR131080 CAJ131080:CAN131080 CKF131080:CKJ131080 CUB131080:CUF131080 DDX131080:DEB131080 DNT131080:DNX131080 DXP131080:DXT131080 EHL131080:EHP131080 ERH131080:ERL131080 FBD131080:FBH131080 FKZ131080:FLD131080 FUV131080:FUZ131080 GER131080:GEV131080 GON131080:GOR131080 GYJ131080:GYN131080 HIF131080:HIJ131080 HSB131080:HSF131080 IBX131080:ICB131080 ILT131080:ILX131080 IVP131080:IVT131080 JFL131080:JFP131080 JPH131080:JPL131080 JZD131080:JZH131080 KIZ131080:KJD131080 KSV131080:KSZ131080 LCR131080:LCV131080 LMN131080:LMR131080 LWJ131080:LWN131080 MGF131080:MGJ131080 MQB131080:MQF131080 MZX131080:NAB131080 NJT131080:NJX131080 NTP131080:NTT131080 ODL131080:ODP131080 ONH131080:ONL131080 OXD131080:OXH131080 PGZ131080:PHD131080 PQV131080:PQZ131080 QAR131080:QAV131080 QKN131080:QKR131080 QUJ131080:QUN131080 REF131080:REJ131080 ROB131080:ROF131080 RXX131080:RYB131080 SHT131080:SHX131080 SRP131080:SRT131080 TBL131080:TBP131080 TLH131080:TLL131080 TVD131080:TVH131080 UEZ131080:UFD131080 UOV131080:UOZ131080 UYR131080:UYV131080 VIN131080:VIR131080 VSJ131080:VSN131080 WCF131080:WCJ131080 WMB131080:WMF131080 WVX131080:WWB131080 P196616:T196616 JL196616:JP196616 TH196616:TL196616 ADD196616:ADH196616 AMZ196616:AND196616 AWV196616:AWZ196616 BGR196616:BGV196616 BQN196616:BQR196616 CAJ196616:CAN196616 CKF196616:CKJ196616 CUB196616:CUF196616 DDX196616:DEB196616 DNT196616:DNX196616 DXP196616:DXT196616 EHL196616:EHP196616 ERH196616:ERL196616 FBD196616:FBH196616 FKZ196616:FLD196616 FUV196616:FUZ196616 GER196616:GEV196616 GON196616:GOR196616 GYJ196616:GYN196616 HIF196616:HIJ196616 HSB196616:HSF196616 IBX196616:ICB196616 ILT196616:ILX196616 IVP196616:IVT196616 JFL196616:JFP196616 JPH196616:JPL196616 JZD196616:JZH196616 KIZ196616:KJD196616 KSV196616:KSZ196616 LCR196616:LCV196616 LMN196616:LMR196616 LWJ196616:LWN196616 MGF196616:MGJ196616 MQB196616:MQF196616 MZX196616:NAB196616 NJT196616:NJX196616 NTP196616:NTT196616 ODL196616:ODP196616 ONH196616:ONL196616 OXD196616:OXH196616 PGZ196616:PHD196616 PQV196616:PQZ196616 QAR196616:QAV196616 QKN196616:QKR196616 QUJ196616:QUN196616 REF196616:REJ196616 ROB196616:ROF196616 RXX196616:RYB196616 SHT196616:SHX196616 SRP196616:SRT196616 TBL196616:TBP196616 TLH196616:TLL196616 TVD196616:TVH196616 UEZ196616:UFD196616 UOV196616:UOZ196616 UYR196616:UYV196616 VIN196616:VIR196616 VSJ196616:VSN196616 WCF196616:WCJ196616 WMB196616:WMF196616 WVX196616:WWB196616 P262152:T262152 JL262152:JP262152 TH262152:TL262152 ADD262152:ADH262152 AMZ262152:AND262152 AWV262152:AWZ262152 BGR262152:BGV262152 BQN262152:BQR262152 CAJ262152:CAN262152 CKF262152:CKJ262152 CUB262152:CUF262152 DDX262152:DEB262152 DNT262152:DNX262152 DXP262152:DXT262152 EHL262152:EHP262152 ERH262152:ERL262152 FBD262152:FBH262152 FKZ262152:FLD262152 FUV262152:FUZ262152 GER262152:GEV262152 GON262152:GOR262152 GYJ262152:GYN262152 HIF262152:HIJ262152 HSB262152:HSF262152 IBX262152:ICB262152 ILT262152:ILX262152 IVP262152:IVT262152 JFL262152:JFP262152 JPH262152:JPL262152 JZD262152:JZH262152 KIZ262152:KJD262152 KSV262152:KSZ262152 LCR262152:LCV262152 LMN262152:LMR262152 LWJ262152:LWN262152 MGF262152:MGJ262152 MQB262152:MQF262152 MZX262152:NAB262152 NJT262152:NJX262152 NTP262152:NTT262152 ODL262152:ODP262152 ONH262152:ONL262152 OXD262152:OXH262152 PGZ262152:PHD262152 PQV262152:PQZ262152 QAR262152:QAV262152 QKN262152:QKR262152 QUJ262152:QUN262152 REF262152:REJ262152 ROB262152:ROF262152 RXX262152:RYB262152 SHT262152:SHX262152 SRP262152:SRT262152 TBL262152:TBP262152 TLH262152:TLL262152 TVD262152:TVH262152 UEZ262152:UFD262152 UOV262152:UOZ262152 UYR262152:UYV262152 VIN262152:VIR262152 VSJ262152:VSN262152 WCF262152:WCJ262152 WMB262152:WMF262152 WVX262152:WWB262152 P327688:T327688 JL327688:JP327688 TH327688:TL327688 ADD327688:ADH327688 AMZ327688:AND327688 AWV327688:AWZ327688 BGR327688:BGV327688 BQN327688:BQR327688 CAJ327688:CAN327688 CKF327688:CKJ327688 CUB327688:CUF327688 DDX327688:DEB327688 DNT327688:DNX327688 DXP327688:DXT327688 EHL327688:EHP327688 ERH327688:ERL327688 FBD327688:FBH327688 FKZ327688:FLD327688 FUV327688:FUZ327688 GER327688:GEV327688 GON327688:GOR327688 GYJ327688:GYN327688 HIF327688:HIJ327688 HSB327688:HSF327688 IBX327688:ICB327688 ILT327688:ILX327688 IVP327688:IVT327688 JFL327688:JFP327688 JPH327688:JPL327688 JZD327688:JZH327688 KIZ327688:KJD327688 KSV327688:KSZ327688 LCR327688:LCV327688 LMN327688:LMR327688 LWJ327688:LWN327688 MGF327688:MGJ327688 MQB327688:MQF327688 MZX327688:NAB327688 NJT327688:NJX327688 NTP327688:NTT327688 ODL327688:ODP327688 ONH327688:ONL327688 OXD327688:OXH327688 PGZ327688:PHD327688 PQV327688:PQZ327688 QAR327688:QAV327688 QKN327688:QKR327688 QUJ327688:QUN327688 REF327688:REJ327688 ROB327688:ROF327688 RXX327688:RYB327688 SHT327688:SHX327688 SRP327688:SRT327688 TBL327688:TBP327688 TLH327688:TLL327688 TVD327688:TVH327688 UEZ327688:UFD327688 UOV327688:UOZ327688 UYR327688:UYV327688 VIN327688:VIR327688 VSJ327688:VSN327688 WCF327688:WCJ327688 WMB327688:WMF327688 WVX327688:WWB327688 P393224:T393224 JL393224:JP393224 TH393224:TL393224 ADD393224:ADH393224 AMZ393224:AND393224 AWV393224:AWZ393224 BGR393224:BGV393224 BQN393224:BQR393224 CAJ393224:CAN393224 CKF393224:CKJ393224 CUB393224:CUF393224 DDX393224:DEB393224 DNT393224:DNX393224 DXP393224:DXT393224 EHL393224:EHP393224 ERH393224:ERL393224 FBD393224:FBH393224 FKZ393224:FLD393224 FUV393224:FUZ393224 GER393224:GEV393224 GON393224:GOR393224 GYJ393224:GYN393224 HIF393224:HIJ393224 HSB393224:HSF393224 IBX393224:ICB393224 ILT393224:ILX393224 IVP393224:IVT393224 JFL393224:JFP393224 JPH393224:JPL393224 JZD393224:JZH393224 KIZ393224:KJD393224 KSV393224:KSZ393224 LCR393224:LCV393224 LMN393224:LMR393224 LWJ393224:LWN393224 MGF393224:MGJ393224 MQB393224:MQF393224 MZX393224:NAB393224 NJT393224:NJX393224 NTP393224:NTT393224 ODL393224:ODP393224 ONH393224:ONL393224 OXD393224:OXH393224 PGZ393224:PHD393224 PQV393224:PQZ393224 QAR393224:QAV393224 QKN393224:QKR393224 QUJ393224:QUN393224 REF393224:REJ393224 ROB393224:ROF393224 RXX393224:RYB393224 SHT393224:SHX393224 SRP393224:SRT393224 TBL393224:TBP393224 TLH393224:TLL393224 TVD393224:TVH393224 UEZ393224:UFD393224 UOV393224:UOZ393224 UYR393224:UYV393224 VIN393224:VIR393224 VSJ393224:VSN393224 WCF393224:WCJ393224 WMB393224:WMF393224 WVX393224:WWB393224 P458760:T458760 JL458760:JP458760 TH458760:TL458760 ADD458760:ADH458760 AMZ458760:AND458760 AWV458760:AWZ458760 BGR458760:BGV458760 BQN458760:BQR458760 CAJ458760:CAN458760 CKF458760:CKJ458760 CUB458760:CUF458760 DDX458760:DEB458760 DNT458760:DNX458760 DXP458760:DXT458760 EHL458760:EHP458760 ERH458760:ERL458760 FBD458760:FBH458760 FKZ458760:FLD458760 FUV458760:FUZ458760 GER458760:GEV458760 GON458760:GOR458760 GYJ458760:GYN458760 HIF458760:HIJ458760 HSB458760:HSF458760 IBX458760:ICB458760 ILT458760:ILX458760 IVP458760:IVT458760 JFL458760:JFP458760 JPH458760:JPL458760 JZD458760:JZH458760 KIZ458760:KJD458760 KSV458760:KSZ458760 LCR458760:LCV458760 LMN458760:LMR458760 LWJ458760:LWN458760 MGF458760:MGJ458760 MQB458760:MQF458760 MZX458760:NAB458760 NJT458760:NJX458760 NTP458760:NTT458760 ODL458760:ODP458760 ONH458760:ONL458760 OXD458760:OXH458760 PGZ458760:PHD458760 PQV458760:PQZ458760 QAR458760:QAV458760 QKN458760:QKR458760 QUJ458760:QUN458760 REF458760:REJ458760 ROB458760:ROF458760 RXX458760:RYB458760 SHT458760:SHX458760 SRP458760:SRT458760 TBL458760:TBP458760 TLH458760:TLL458760 TVD458760:TVH458760 UEZ458760:UFD458760 UOV458760:UOZ458760 UYR458760:UYV458760 VIN458760:VIR458760 VSJ458760:VSN458760 WCF458760:WCJ458760 WMB458760:WMF458760 WVX458760:WWB458760 P524296:T524296 JL524296:JP524296 TH524296:TL524296 ADD524296:ADH524296 AMZ524296:AND524296 AWV524296:AWZ524296 BGR524296:BGV524296 BQN524296:BQR524296 CAJ524296:CAN524296 CKF524296:CKJ524296 CUB524296:CUF524296 DDX524296:DEB524296 DNT524296:DNX524296 DXP524296:DXT524296 EHL524296:EHP524296 ERH524296:ERL524296 FBD524296:FBH524296 FKZ524296:FLD524296 FUV524296:FUZ524296 GER524296:GEV524296 GON524296:GOR524296 GYJ524296:GYN524296 HIF524296:HIJ524296 HSB524296:HSF524296 IBX524296:ICB524296 ILT524296:ILX524296 IVP524296:IVT524296 JFL524296:JFP524296 JPH524296:JPL524296 JZD524296:JZH524296 KIZ524296:KJD524296 KSV524296:KSZ524296 LCR524296:LCV524296 LMN524296:LMR524296 LWJ524296:LWN524296 MGF524296:MGJ524296 MQB524296:MQF524296 MZX524296:NAB524296 NJT524296:NJX524296 NTP524296:NTT524296 ODL524296:ODP524296 ONH524296:ONL524296 OXD524296:OXH524296 PGZ524296:PHD524296 PQV524296:PQZ524296 QAR524296:QAV524296 QKN524296:QKR524296 QUJ524296:QUN524296 REF524296:REJ524296 ROB524296:ROF524296 RXX524296:RYB524296 SHT524296:SHX524296 SRP524296:SRT524296 TBL524296:TBP524296 TLH524296:TLL524296 TVD524296:TVH524296 UEZ524296:UFD524296 UOV524296:UOZ524296 UYR524296:UYV524296 VIN524296:VIR524296 VSJ524296:VSN524296 WCF524296:WCJ524296 WMB524296:WMF524296 WVX524296:WWB524296 P589832:T589832 JL589832:JP589832 TH589832:TL589832 ADD589832:ADH589832 AMZ589832:AND589832 AWV589832:AWZ589832 BGR589832:BGV589832 BQN589832:BQR589832 CAJ589832:CAN589832 CKF589832:CKJ589832 CUB589832:CUF589832 DDX589832:DEB589832 DNT589832:DNX589832 DXP589832:DXT589832 EHL589832:EHP589832 ERH589832:ERL589832 FBD589832:FBH589832 FKZ589832:FLD589832 FUV589832:FUZ589832 GER589832:GEV589832 GON589832:GOR589832 GYJ589832:GYN589832 HIF589832:HIJ589832 HSB589832:HSF589832 IBX589832:ICB589832 ILT589832:ILX589832 IVP589832:IVT589832 JFL589832:JFP589832 JPH589832:JPL589832 JZD589832:JZH589832 KIZ589832:KJD589832 KSV589832:KSZ589832 LCR589832:LCV589832 LMN589832:LMR589832 LWJ589832:LWN589832 MGF589832:MGJ589832 MQB589832:MQF589832 MZX589832:NAB589832 NJT589832:NJX589832 NTP589832:NTT589832 ODL589832:ODP589832 ONH589832:ONL589832 OXD589832:OXH589832 PGZ589832:PHD589832 PQV589832:PQZ589832 QAR589832:QAV589832 QKN589832:QKR589832 QUJ589832:QUN589832 REF589832:REJ589832 ROB589832:ROF589832 RXX589832:RYB589832 SHT589832:SHX589832 SRP589832:SRT589832 TBL589832:TBP589832 TLH589832:TLL589832 TVD589832:TVH589832 UEZ589832:UFD589832 UOV589832:UOZ589832 UYR589832:UYV589832 VIN589832:VIR589832 VSJ589832:VSN589832 WCF589832:WCJ589832 WMB589832:WMF589832 WVX589832:WWB589832 P655368:T655368 JL655368:JP655368 TH655368:TL655368 ADD655368:ADH655368 AMZ655368:AND655368 AWV655368:AWZ655368 BGR655368:BGV655368 BQN655368:BQR655368 CAJ655368:CAN655368 CKF655368:CKJ655368 CUB655368:CUF655368 DDX655368:DEB655368 DNT655368:DNX655368 DXP655368:DXT655368 EHL655368:EHP655368 ERH655368:ERL655368 FBD655368:FBH655368 FKZ655368:FLD655368 FUV655368:FUZ655368 GER655368:GEV655368 GON655368:GOR655368 GYJ655368:GYN655368 HIF655368:HIJ655368 HSB655368:HSF655368 IBX655368:ICB655368 ILT655368:ILX655368 IVP655368:IVT655368 JFL655368:JFP655368 JPH655368:JPL655368 JZD655368:JZH655368 KIZ655368:KJD655368 KSV655368:KSZ655368 LCR655368:LCV655368 LMN655368:LMR655368 LWJ655368:LWN655368 MGF655368:MGJ655368 MQB655368:MQF655368 MZX655368:NAB655368 NJT655368:NJX655368 NTP655368:NTT655368 ODL655368:ODP655368 ONH655368:ONL655368 OXD655368:OXH655368 PGZ655368:PHD655368 PQV655368:PQZ655368 QAR655368:QAV655368 QKN655368:QKR655368 QUJ655368:QUN655368 REF655368:REJ655368 ROB655368:ROF655368 RXX655368:RYB655368 SHT655368:SHX655368 SRP655368:SRT655368 TBL655368:TBP655368 TLH655368:TLL655368 TVD655368:TVH655368 UEZ655368:UFD655368 UOV655368:UOZ655368 UYR655368:UYV655368 VIN655368:VIR655368 VSJ655368:VSN655368 WCF655368:WCJ655368 WMB655368:WMF655368 WVX655368:WWB655368 P720904:T720904 JL720904:JP720904 TH720904:TL720904 ADD720904:ADH720904 AMZ720904:AND720904 AWV720904:AWZ720904 BGR720904:BGV720904 BQN720904:BQR720904 CAJ720904:CAN720904 CKF720904:CKJ720904 CUB720904:CUF720904 DDX720904:DEB720904 DNT720904:DNX720904 DXP720904:DXT720904 EHL720904:EHP720904 ERH720904:ERL720904 FBD720904:FBH720904 FKZ720904:FLD720904 FUV720904:FUZ720904 GER720904:GEV720904 GON720904:GOR720904 GYJ720904:GYN720904 HIF720904:HIJ720904 HSB720904:HSF720904 IBX720904:ICB720904 ILT720904:ILX720904 IVP720904:IVT720904 JFL720904:JFP720904 JPH720904:JPL720904 JZD720904:JZH720904 KIZ720904:KJD720904 KSV720904:KSZ720904 LCR720904:LCV720904 LMN720904:LMR720904 LWJ720904:LWN720904 MGF720904:MGJ720904 MQB720904:MQF720904 MZX720904:NAB720904 NJT720904:NJX720904 NTP720904:NTT720904 ODL720904:ODP720904 ONH720904:ONL720904 OXD720904:OXH720904 PGZ720904:PHD720904 PQV720904:PQZ720904 QAR720904:QAV720904 QKN720904:QKR720904 QUJ720904:QUN720904 REF720904:REJ720904 ROB720904:ROF720904 RXX720904:RYB720904 SHT720904:SHX720904 SRP720904:SRT720904 TBL720904:TBP720904 TLH720904:TLL720904 TVD720904:TVH720904 UEZ720904:UFD720904 UOV720904:UOZ720904 UYR720904:UYV720904 VIN720904:VIR720904 VSJ720904:VSN720904 WCF720904:WCJ720904 WMB720904:WMF720904 WVX720904:WWB720904 P786440:T786440 JL786440:JP786440 TH786440:TL786440 ADD786440:ADH786440 AMZ786440:AND786440 AWV786440:AWZ786440 BGR786440:BGV786440 BQN786440:BQR786440 CAJ786440:CAN786440 CKF786440:CKJ786440 CUB786440:CUF786440 DDX786440:DEB786440 DNT786440:DNX786440 DXP786440:DXT786440 EHL786440:EHP786440 ERH786440:ERL786440 FBD786440:FBH786440 FKZ786440:FLD786440 FUV786440:FUZ786440 GER786440:GEV786440 GON786440:GOR786440 GYJ786440:GYN786440 HIF786440:HIJ786440 HSB786440:HSF786440 IBX786440:ICB786440 ILT786440:ILX786440 IVP786440:IVT786440 JFL786440:JFP786440 JPH786440:JPL786440 JZD786440:JZH786440 KIZ786440:KJD786440 KSV786440:KSZ786440 LCR786440:LCV786440 LMN786440:LMR786440 LWJ786440:LWN786440 MGF786440:MGJ786440 MQB786440:MQF786440 MZX786440:NAB786440 NJT786440:NJX786440 NTP786440:NTT786440 ODL786440:ODP786440 ONH786440:ONL786440 OXD786440:OXH786440 PGZ786440:PHD786440 PQV786440:PQZ786440 QAR786440:QAV786440 QKN786440:QKR786440 QUJ786440:QUN786440 REF786440:REJ786440 ROB786440:ROF786440 RXX786440:RYB786440 SHT786440:SHX786440 SRP786440:SRT786440 TBL786440:TBP786440 TLH786440:TLL786440 TVD786440:TVH786440 UEZ786440:UFD786440 UOV786440:UOZ786440 UYR786440:UYV786440 VIN786440:VIR786440 VSJ786440:VSN786440 WCF786440:WCJ786440 WMB786440:WMF786440 WVX786440:WWB786440 P851976:T851976 JL851976:JP851976 TH851976:TL851976 ADD851976:ADH851976 AMZ851976:AND851976 AWV851976:AWZ851976 BGR851976:BGV851976 BQN851976:BQR851976 CAJ851976:CAN851976 CKF851976:CKJ851976 CUB851976:CUF851976 DDX851976:DEB851976 DNT851976:DNX851976 DXP851976:DXT851976 EHL851976:EHP851976 ERH851976:ERL851976 FBD851976:FBH851976 FKZ851976:FLD851976 FUV851976:FUZ851976 GER851976:GEV851976 GON851976:GOR851976 GYJ851976:GYN851976 HIF851976:HIJ851976 HSB851976:HSF851976 IBX851976:ICB851976 ILT851976:ILX851976 IVP851976:IVT851976 JFL851976:JFP851976 JPH851976:JPL851976 JZD851976:JZH851976 KIZ851976:KJD851976 KSV851976:KSZ851976 LCR851976:LCV851976 LMN851976:LMR851976 LWJ851976:LWN851976 MGF851976:MGJ851976 MQB851976:MQF851976 MZX851976:NAB851976 NJT851976:NJX851976 NTP851976:NTT851976 ODL851976:ODP851976 ONH851976:ONL851976 OXD851976:OXH851976 PGZ851976:PHD851976 PQV851976:PQZ851976 QAR851976:QAV851976 QKN851976:QKR851976 QUJ851976:QUN851976 REF851976:REJ851976 ROB851976:ROF851976 RXX851976:RYB851976 SHT851976:SHX851976 SRP851976:SRT851976 TBL851976:TBP851976 TLH851976:TLL851976 TVD851976:TVH851976 UEZ851976:UFD851976 UOV851976:UOZ851976 UYR851976:UYV851976 VIN851976:VIR851976 VSJ851976:VSN851976 WCF851976:WCJ851976 WMB851976:WMF851976 WVX851976:WWB851976 P917512:T917512 JL917512:JP917512 TH917512:TL917512 ADD917512:ADH917512 AMZ917512:AND917512 AWV917512:AWZ917512 BGR917512:BGV917512 BQN917512:BQR917512 CAJ917512:CAN917512 CKF917512:CKJ917512 CUB917512:CUF917512 DDX917512:DEB917512 DNT917512:DNX917512 DXP917512:DXT917512 EHL917512:EHP917512 ERH917512:ERL917512 FBD917512:FBH917512 FKZ917512:FLD917512 FUV917512:FUZ917512 GER917512:GEV917512 GON917512:GOR917512 GYJ917512:GYN917512 HIF917512:HIJ917512 HSB917512:HSF917512 IBX917512:ICB917512 ILT917512:ILX917512 IVP917512:IVT917512 JFL917512:JFP917512 JPH917512:JPL917512 JZD917512:JZH917512 KIZ917512:KJD917512 KSV917512:KSZ917512 LCR917512:LCV917512 LMN917512:LMR917512 LWJ917512:LWN917512 MGF917512:MGJ917512 MQB917512:MQF917512 MZX917512:NAB917512 NJT917512:NJX917512 NTP917512:NTT917512 ODL917512:ODP917512 ONH917512:ONL917512 OXD917512:OXH917512 PGZ917512:PHD917512 PQV917512:PQZ917512 QAR917512:QAV917512 QKN917512:QKR917512 QUJ917512:QUN917512 REF917512:REJ917512 ROB917512:ROF917512 RXX917512:RYB917512 SHT917512:SHX917512 SRP917512:SRT917512 TBL917512:TBP917512 TLH917512:TLL917512 TVD917512:TVH917512 UEZ917512:UFD917512 UOV917512:UOZ917512 UYR917512:UYV917512 VIN917512:VIR917512 VSJ917512:VSN917512 WCF917512:WCJ917512 WMB917512:WMF917512 WVX917512:WWB917512 P983048:T983048 JL983048:JP983048 TH983048:TL983048 ADD983048:ADH983048 AMZ983048:AND983048 AWV983048:AWZ983048 BGR983048:BGV983048 BQN983048:BQR983048 CAJ983048:CAN983048 CKF983048:CKJ983048 CUB983048:CUF983048 DDX983048:DEB983048 DNT983048:DNX983048 DXP983048:DXT983048 EHL983048:EHP983048 ERH983048:ERL983048 FBD983048:FBH983048 FKZ983048:FLD983048 FUV983048:FUZ983048 GER983048:GEV983048 GON983048:GOR983048 GYJ983048:GYN983048 HIF983048:HIJ983048 HSB983048:HSF983048 IBX983048:ICB983048 ILT983048:ILX983048 IVP983048:IVT983048 JFL983048:JFP983048 JPH983048:JPL983048 JZD983048:JZH983048 KIZ983048:KJD983048 KSV983048:KSZ983048 LCR983048:LCV983048 LMN983048:LMR983048 LWJ983048:LWN983048 MGF983048:MGJ983048 MQB983048:MQF983048 MZX983048:NAB983048 NJT983048:NJX983048 NTP983048:NTT983048 ODL983048:ODP983048 ONH983048:ONL983048 OXD983048:OXH983048 PGZ983048:PHD983048 PQV983048:PQZ983048 QAR983048:QAV983048 QKN983048:QKR983048 QUJ983048:QUN983048 REF983048:REJ983048 ROB983048:ROF983048 RXX983048:RYB983048 SHT983048:SHX983048 SRP983048:SRT983048 TBL983048:TBP983048 TLH983048:TLL983048 TVD983048:TVH983048 UEZ983048:UFD983048 UOV983048:UOZ983048 UYR983048:UYV983048 VIN983048:VIR983048 VSJ983048:VSN983048 WCF983048:WCJ983048 WMB983048:WMF983048 WVX983048:WWB983048 H65542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78 JC65542:JD65542 SY65542:SZ65542 ACU65542:ACV65542 AMQ65542:AMR65542 AWM65542:AWN65542 BGI65542:BGJ65542 BQE65542:BQF65542 CAA65542:CAB65542 CJW65542:CJX65542 CTS65542:CTT65542 DDO65542:DDP65542 DNK65542:DNL65542 DXG65542:DXH65542 EHC65542:EHD65542 EQY65542:EQZ65542 FAU65542:FAV65542 FKQ65542:FKR65542 FUM65542:FUN65542 GEI65542:GEJ65542 GOE65542:GOF65542 GYA65542:GYB65542 HHW65542:HHX65542 HRS65542:HRT65542 IBO65542:IBP65542 ILK65542:ILL65542 IVG65542:IVH65542 JFC65542:JFD65542 JOY65542:JOZ65542 JYU65542:JYV65542 KIQ65542:KIR65542 KSM65542:KSN65542 LCI65542:LCJ65542 LME65542:LMF65542 LWA65542:LWB65542 MFW65542:MFX65542 MPS65542:MPT65542 MZO65542:MZP65542 NJK65542:NJL65542 NTG65542:NTH65542 ODC65542:ODD65542 OMY65542:OMZ65542 OWU65542:OWV65542 PGQ65542:PGR65542 PQM65542:PQN65542 QAI65542:QAJ65542 QKE65542:QKF65542 QUA65542:QUB65542 RDW65542:RDX65542 RNS65542:RNT65542 RXO65542:RXP65542 SHK65542:SHL65542 SRG65542:SRH65542 TBC65542:TBD65542 TKY65542:TKZ65542 TUU65542:TUV65542 UEQ65542:UER65542 UOM65542:UON65542 UYI65542:UYJ65542 VIE65542:VIF65542 VSA65542:VSB65542 WBW65542:WBX65542 WLS65542:WLT65542 WVO65542:WVP65542 H196614 JC131078:JD131078 SY131078:SZ131078 ACU131078:ACV131078 AMQ131078:AMR131078 AWM131078:AWN131078 BGI131078:BGJ131078 BQE131078:BQF131078 CAA131078:CAB131078 CJW131078:CJX131078 CTS131078:CTT131078 DDO131078:DDP131078 DNK131078:DNL131078 DXG131078:DXH131078 EHC131078:EHD131078 EQY131078:EQZ131078 FAU131078:FAV131078 FKQ131078:FKR131078 FUM131078:FUN131078 GEI131078:GEJ131078 GOE131078:GOF131078 GYA131078:GYB131078 HHW131078:HHX131078 HRS131078:HRT131078 IBO131078:IBP131078 ILK131078:ILL131078 IVG131078:IVH131078 JFC131078:JFD131078 JOY131078:JOZ131078 JYU131078:JYV131078 KIQ131078:KIR131078 KSM131078:KSN131078 LCI131078:LCJ131078 LME131078:LMF131078 LWA131078:LWB131078 MFW131078:MFX131078 MPS131078:MPT131078 MZO131078:MZP131078 NJK131078:NJL131078 NTG131078:NTH131078 ODC131078:ODD131078 OMY131078:OMZ131078 OWU131078:OWV131078 PGQ131078:PGR131078 PQM131078:PQN131078 QAI131078:QAJ131078 QKE131078:QKF131078 QUA131078:QUB131078 RDW131078:RDX131078 RNS131078:RNT131078 RXO131078:RXP131078 SHK131078:SHL131078 SRG131078:SRH131078 TBC131078:TBD131078 TKY131078:TKZ131078 TUU131078:TUV131078 UEQ131078:UER131078 UOM131078:UON131078 UYI131078:UYJ131078 VIE131078:VIF131078 VSA131078:VSB131078 WBW131078:WBX131078 WLS131078:WLT131078 WVO131078:WVP131078 H262150 JC196614:JD196614 SY196614:SZ196614 ACU196614:ACV196614 AMQ196614:AMR196614 AWM196614:AWN196614 BGI196614:BGJ196614 BQE196614:BQF196614 CAA196614:CAB196614 CJW196614:CJX196614 CTS196614:CTT196614 DDO196614:DDP196614 DNK196614:DNL196614 DXG196614:DXH196614 EHC196614:EHD196614 EQY196614:EQZ196614 FAU196614:FAV196614 FKQ196614:FKR196614 FUM196614:FUN196614 GEI196614:GEJ196614 GOE196614:GOF196614 GYA196614:GYB196614 HHW196614:HHX196614 HRS196614:HRT196614 IBO196614:IBP196614 ILK196614:ILL196614 IVG196614:IVH196614 JFC196614:JFD196614 JOY196614:JOZ196614 JYU196614:JYV196614 KIQ196614:KIR196614 KSM196614:KSN196614 LCI196614:LCJ196614 LME196614:LMF196614 LWA196614:LWB196614 MFW196614:MFX196614 MPS196614:MPT196614 MZO196614:MZP196614 NJK196614:NJL196614 NTG196614:NTH196614 ODC196614:ODD196614 OMY196614:OMZ196614 OWU196614:OWV196614 PGQ196614:PGR196614 PQM196614:PQN196614 QAI196614:QAJ196614 QKE196614:QKF196614 QUA196614:QUB196614 RDW196614:RDX196614 RNS196614:RNT196614 RXO196614:RXP196614 SHK196614:SHL196614 SRG196614:SRH196614 TBC196614:TBD196614 TKY196614:TKZ196614 TUU196614:TUV196614 UEQ196614:UER196614 UOM196614:UON196614 UYI196614:UYJ196614 VIE196614:VIF196614 VSA196614:VSB196614 WBW196614:WBX196614 WLS196614:WLT196614 WVO196614:WVP196614 H327686 JC262150:JD262150 SY262150:SZ262150 ACU262150:ACV262150 AMQ262150:AMR262150 AWM262150:AWN262150 BGI262150:BGJ262150 BQE262150:BQF262150 CAA262150:CAB262150 CJW262150:CJX262150 CTS262150:CTT262150 DDO262150:DDP262150 DNK262150:DNL262150 DXG262150:DXH262150 EHC262150:EHD262150 EQY262150:EQZ262150 FAU262150:FAV262150 FKQ262150:FKR262150 FUM262150:FUN262150 GEI262150:GEJ262150 GOE262150:GOF262150 GYA262150:GYB262150 HHW262150:HHX262150 HRS262150:HRT262150 IBO262150:IBP262150 ILK262150:ILL262150 IVG262150:IVH262150 JFC262150:JFD262150 JOY262150:JOZ262150 JYU262150:JYV262150 KIQ262150:KIR262150 KSM262150:KSN262150 LCI262150:LCJ262150 LME262150:LMF262150 LWA262150:LWB262150 MFW262150:MFX262150 MPS262150:MPT262150 MZO262150:MZP262150 NJK262150:NJL262150 NTG262150:NTH262150 ODC262150:ODD262150 OMY262150:OMZ262150 OWU262150:OWV262150 PGQ262150:PGR262150 PQM262150:PQN262150 QAI262150:QAJ262150 QKE262150:QKF262150 QUA262150:QUB262150 RDW262150:RDX262150 RNS262150:RNT262150 RXO262150:RXP262150 SHK262150:SHL262150 SRG262150:SRH262150 TBC262150:TBD262150 TKY262150:TKZ262150 TUU262150:TUV262150 UEQ262150:UER262150 UOM262150:UON262150 UYI262150:UYJ262150 VIE262150:VIF262150 VSA262150:VSB262150 WBW262150:WBX262150 WLS262150:WLT262150 WVO262150:WVP262150 H393222 JC327686:JD327686 SY327686:SZ327686 ACU327686:ACV327686 AMQ327686:AMR327686 AWM327686:AWN327686 BGI327686:BGJ327686 BQE327686:BQF327686 CAA327686:CAB327686 CJW327686:CJX327686 CTS327686:CTT327686 DDO327686:DDP327686 DNK327686:DNL327686 DXG327686:DXH327686 EHC327686:EHD327686 EQY327686:EQZ327686 FAU327686:FAV327686 FKQ327686:FKR327686 FUM327686:FUN327686 GEI327686:GEJ327686 GOE327686:GOF327686 GYA327686:GYB327686 HHW327686:HHX327686 HRS327686:HRT327686 IBO327686:IBP327686 ILK327686:ILL327686 IVG327686:IVH327686 JFC327686:JFD327686 JOY327686:JOZ327686 JYU327686:JYV327686 KIQ327686:KIR327686 KSM327686:KSN327686 LCI327686:LCJ327686 LME327686:LMF327686 LWA327686:LWB327686 MFW327686:MFX327686 MPS327686:MPT327686 MZO327686:MZP327686 NJK327686:NJL327686 NTG327686:NTH327686 ODC327686:ODD327686 OMY327686:OMZ327686 OWU327686:OWV327686 PGQ327686:PGR327686 PQM327686:PQN327686 QAI327686:QAJ327686 QKE327686:QKF327686 QUA327686:QUB327686 RDW327686:RDX327686 RNS327686:RNT327686 RXO327686:RXP327686 SHK327686:SHL327686 SRG327686:SRH327686 TBC327686:TBD327686 TKY327686:TKZ327686 TUU327686:TUV327686 UEQ327686:UER327686 UOM327686:UON327686 UYI327686:UYJ327686 VIE327686:VIF327686 VSA327686:VSB327686 WBW327686:WBX327686 WLS327686:WLT327686 WVO327686:WVP327686 H458758 JC393222:JD393222 SY393222:SZ393222 ACU393222:ACV393222 AMQ393222:AMR393222 AWM393222:AWN393222 BGI393222:BGJ393222 BQE393222:BQF393222 CAA393222:CAB393222 CJW393222:CJX393222 CTS393222:CTT393222 DDO393222:DDP393222 DNK393222:DNL393222 DXG393222:DXH393222 EHC393222:EHD393222 EQY393222:EQZ393222 FAU393222:FAV393222 FKQ393222:FKR393222 FUM393222:FUN393222 GEI393222:GEJ393222 GOE393222:GOF393222 GYA393222:GYB393222 HHW393222:HHX393222 HRS393222:HRT393222 IBO393222:IBP393222 ILK393222:ILL393222 IVG393222:IVH393222 JFC393222:JFD393222 JOY393222:JOZ393222 JYU393222:JYV393222 KIQ393222:KIR393222 KSM393222:KSN393222 LCI393222:LCJ393222 LME393222:LMF393222 LWA393222:LWB393222 MFW393222:MFX393222 MPS393222:MPT393222 MZO393222:MZP393222 NJK393222:NJL393222 NTG393222:NTH393222 ODC393222:ODD393222 OMY393222:OMZ393222 OWU393222:OWV393222 PGQ393222:PGR393222 PQM393222:PQN393222 QAI393222:QAJ393222 QKE393222:QKF393222 QUA393222:QUB393222 RDW393222:RDX393222 RNS393222:RNT393222 RXO393222:RXP393222 SHK393222:SHL393222 SRG393222:SRH393222 TBC393222:TBD393222 TKY393222:TKZ393222 TUU393222:TUV393222 UEQ393222:UER393222 UOM393222:UON393222 UYI393222:UYJ393222 VIE393222:VIF393222 VSA393222:VSB393222 WBW393222:WBX393222 WLS393222:WLT393222 WVO393222:WVP393222 H524294 JC458758:JD458758 SY458758:SZ458758 ACU458758:ACV458758 AMQ458758:AMR458758 AWM458758:AWN458758 BGI458758:BGJ458758 BQE458758:BQF458758 CAA458758:CAB458758 CJW458758:CJX458758 CTS458758:CTT458758 DDO458758:DDP458758 DNK458758:DNL458758 DXG458758:DXH458758 EHC458758:EHD458758 EQY458758:EQZ458758 FAU458758:FAV458758 FKQ458758:FKR458758 FUM458758:FUN458758 GEI458758:GEJ458758 GOE458758:GOF458758 GYA458758:GYB458758 HHW458758:HHX458758 HRS458758:HRT458758 IBO458758:IBP458758 ILK458758:ILL458758 IVG458758:IVH458758 JFC458758:JFD458758 JOY458758:JOZ458758 JYU458758:JYV458758 KIQ458758:KIR458758 KSM458758:KSN458758 LCI458758:LCJ458758 LME458758:LMF458758 LWA458758:LWB458758 MFW458758:MFX458758 MPS458758:MPT458758 MZO458758:MZP458758 NJK458758:NJL458758 NTG458758:NTH458758 ODC458758:ODD458758 OMY458758:OMZ458758 OWU458758:OWV458758 PGQ458758:PGR458758 PQM458758:PQN458758 QAI458758:QAJ458758 QKE458758:QKF458758 QUA458758:QUB458758 RDW458758:RDX458758 RNS458758:RNT458758 RXO458758:RXP458758 SHK458758:SHL458758 SRG458758:SRH458758 TBC458758:TBD458758 TKY458758:TKZ458758 TUU458758:TUV458758 UEQ458758:UER458758 UOM458758:UON458758 UYI458758:UYJ458758 VIE458758:VIF458758 VSA458758:VSB458758 WBW458758:WBX458758 WLS458758:WLT458758 WVO458758:WVP458758 H589830 JC524294:JD524294 SY524294:SZ524294 ACU524294:ACV524294 AMQ524294:AMR524294 AWM524294:AWN524294 BGI524294:BGJ524294 BQE524294:BQF524294 CAA524294:CAB524294 CJW524294:CJX524294 CTS524294:CTT524294 DDO524294:DDP524294 DNK524294:DNL524294 DXG524294:DXH524294 EHC524294:EHD524294 EQY524294:EQZ524294 FAU524294:FAV524294 FKQ524294:FKR524294 FUM524294:FUN524294 GEI524294:GEJ524294 GOE524294:GOF524294 GYA524294:GYB524294 HHW524294:HHX524294 HRS524294:HRT524294 IBO524294:IBP524294 ILK524294:ILL524294 IVG524294:IVH524294 JFC524294:JFD524294 JOY524294:JOZ524294 JYU524294:JYV524294 KIQ524294:KIR524294 KSM524294:KSN524294 LCI524294:LCJ524294 LME524294:LMF524294 LWA524294:LWB524294 MFW524294:MFX524294 MPS524294:MPT524294 MZO524294:MZP524294 NJK524294:NJL524294 NTG524294:NTH524294 ODC524294:ODD524294 OMY524294:OMZ524294 OWU524294:OWV524294 PGQ524294:PGR524294 PQM524294:PQN524294 QAI524294:QAJ524294 QKE524294:QKF524294 QUA524294:QUB524294 RDW524294:RDX524294 RNS524294:RNT524294 RXO524294:RXP524294 SHK524294:SHL524294 SRG524294:SRH524294 TBC524294:TBD524294 TKY524294:TKZ524294 TUU524294:TUV524294 UEQ524294:UER524294 UOM524294:UON524294 UYI524294:UYJ524294 VIE524294:VIF524294 VSA524294:VSB524294 WBW524294:WBX524294 WLS524294:WLT524294 WVO524294:WVP524294 H655366 JC589830:JD589830 SY589830:SZ589830 ACU589830:ACV589830 AMQ589830:AMR589830 AWM589830:AWN589830 BGI589830:BGJ589830 BQE589830:BQF589830 CAA589830:CAB589830 CJW589830:CJX589830 CTS589830:CTT589830 DDO589830:DDP589830 DNK589830:DNL589830 DXG589830:DXH589830 EHC589830:EHD589830 EQY589830:EQZ589830 FAU589830:FAV589830 FKQ589830:FKR589830 FUM589830:FUN589830 GEI589830:GEJ589830 GOE589830:GOF589830 GYA589830:GYB589830 HHW589830:HHX589830 HRS589830:HRT589830 IBO589830:IBP589830 ILK589830:ILL589830 IVG589830:IVH589830 JFC589830:JFD589830 JOY589830:JOZ589830 JYU589830:JYV589830 KIQ589830:KIR589830 KSM589830:KSN589830 LCI589830:LCJ589830 LME589830:LMF589830 LWA589830:LWB589830 MFW589830:MFX589830 MPS589830:MPT589830 MZO589830:MZP589830 NJK589830:NJL589830 NTG589830:NTH589830 ODC589830:ODD589830 OMY589830:OMZ589830 OWU589830:OWV589830 PGQ589830:PGR589830 PQM589830:PQN589830 QAI589830:QAJ589830 QKE589830:QKF589830 QUA589830:QUB589830 RDW589830:RDX589830 RNS589830:RNT589830 RXO589830:RXP589830 SHK589830:SHL589830 SRG589830:SRH589830 TBC589830:TBD589830 TKY589830:TKZ589830 TUU589830:TUV589830 UEQ589830:UER589830 UOM589830:UON589830 UYI589830:UYJ589830 VIE589830:VIF589830 VSA589830:VSB589830 WBW589830:WBX589830 WLS589830:WLT589830 WVO589830:WVP589830 H720902 JC655366:JD655366 SY655366:SZ655366 ACU655366:ACV655366 AMQ655366:AMR655366 AWM655366:AWN655366 BGI655366:BGJ655366 BQE655366:BQF655366 CAA655366:CAB655366 CJW655366:CJX655366 CTS655366:CTT655366 DDO655366:DDP655366 DNK655366:DNL655366 DXG655366:DXH655366 EHC655366:EHD655366 EQY655366:EQZ655366 FAU655366:FAV655366 FKQ655366:FKR655366 FUM655366:FUN655366 GEI655366:GEJ655366 GOE655366:GOF655366 GYA655366:GYB655366 HHW655366:HHX655366 HRS655366:HRT655366 IBO655366:IBP655366 ILK655366:ILL655366 IVG655366:IVH655366 JFC655366:JFD655366 JOY655366:JOZ655366 JYU655366:JYV655366 KIQ655366:KIR655366 KSM655366:KSN655366 LCI655366:LCJ655366 LME655366:LMF655366 LWA655366:LWB655366 MFW655366:MFX655366 MPS655366:MPT655366 MZO655366:MZP655366 NJK655366:NJL655366 NTG655366:NTH655366 ODC655366:ODD655366 OMY655366:OMZ655366 OWU655366:OWV655366 PGQ655366:PGR655366 PQM655366:PQN655366 QAI655366:QAJ655366 QKE655366:QKF655366 QUA655366:QUB655366 RDW655366:RDX655366 RNS655366:RNT655366 RXO655366:RXP655366 SHK655366:SHL655366 SRG655366:SRH655366 TBC655366:TBD655366 TKY655366:TKZ655366 TUU655366:TUV655366 UEQ655366:UER655366 UOM655366:UON655366 UYI655366:UYJ655366 VIE655366:VIF655366 VSA655366:VSB655366 WBW655366:WBX655366 WLS655366:WLT655366 WVO655366:WVP655366 H786438 JC720902:JD720902 SY720902:SZ720902 ACU720902:ACV720902 AMQ720902:AMR720902 AWM720902:AWN720902 BGI720902:BGJ720902 BQE720902:BQF720902 CAA720902:CAB720902 CJW720902:CJX720902 CTS720902:CTT720902 DDO720902:DDP720902 DNK720902:DNL720902 DXG720902:DXH720902 EHC720902:EHD720902 EQY720902:EQZ720902 FAU720902:FAV720902 FKQ720902:FKR720902 FUM720902:FUN720902 GEI720902:GEJ720902 GOE720902:GOF720902 GYA720902:GYB720902 HHW720902:HHX720902 HRS720902:HRT720902 IBO720902:IBP720902 ILK720902:ILL720902 IVG720902:IVH720902 JFC720902:JFD720902 JOY720902:JOZ720902 JYU720902:JYV720902 KIQ720902:KIR720902 KSM720902:KSN720902 LCI720902:LCJ720902 LME720902:LMF720902 LWA720902:LWB720902 MFW720902:MFX720902 MPS720902:MPT720902 MZO720902:MZP720902 NJK720902:NJL720902 NTG720902:NTH720902 ODC720902:ODD720902 OMY720902:OMZ720902 OWU720902:OWV720902 PGQ720902:PGR720902 PQM720902:PQN720902 QAI720902:QAJ720902 QKE720902:QKF720902 QUA720902:QUB720902 RDW720902:RDX720902 RNS720902:RNT720902 RXO720902:RXP720902 SHK720902:SHL720902 SRG720902:SRH720902 TBC720902:TBD720902 TKY720902:TKZ720902 TUU720902:TUV720902 UEQ720902:UER720902 UOM720902:UON720902 UYI720902:UYJ720902 VIE720902:VIF720902 VSA720902:VSB720902 WBW720902:WBX720902 WLS720902:WLT720902 WVO720902:WVP720902 H851974 JC786438:JD786438 SY786438:SZ786438 ACU786438:ACV786438 AMQ786438:AMR786438 AWM786438:AWN786438 BGI786438:BGJ786438 BQE786438:BQF786438 CAA786438:CAB786438 CJW786438:CJX786438 CTS786438:CTT786438 DDO786438:DDP786438 DNK786438:DNL786438 DXG786438:DXH786438 EHC786438:EHD786438 EQY786438:EQZ786438 FAU786438:FAV786438 FKQ786438:FKR786438 FUM786438:FUN786438 GEI786438:GEJ786438 GOE786438:GOF786438 GYA786438:GYB786438 HHW786438:HHX786438 HRS786438:HRT786438 IBO786438:IBP786438 ILK786438:ILL786438 IVG786438:IVH786438 JFC786438:JFD786438 JOY786438:JOZ786438 JYU786438:JYV786438 KIQ786438:KIR786438 KSM786438:KSN786438 LCI786438:LCJ786438 LME786438:LMF786438 LWA786438:LWB786438 MFW786438:MFX786438 MPS786438:MPT786438 MZO786438:MZP786438 NJK786438:NJL786438 NTG786438:NTH786438 ODC786438:ODD786438 OMY786438:OMZ786438 OWU786438:OWV786438 PGQ786438:PGR786438 PQM786438:PQN786438 QAI786438:QAJ786438 QKE786438:QKF786438 QUA786438:QUB786438 RDW786438:RDX786438 RNS786438:RNT786438 RXO786438:RXP786438 SHK786438:SHL786438 SRG786438:SRH786438 TBC786438:TBD786438 TKY786438:TKZ786438 TUU786438:TUV786438 UEQ786438:UER786438 UOM786438:UON786438 UYI786438:UYJ786438 VIE786438:VIF786438 VSA786438:VSB786438 WBW786438:WBX786438 WLS786438:WLT786438 WVO786438:WVP786438 H917510 JC851974:JD851974 SY851974:SZ851974 ACU851974:ACV851974 AMQ851974:AMR851974 AWM851974:AWN851974 BGI851974:BGJ851974 BQE851974:BQF851974 CAA851974:CAB851974 CJW851974:CJX851974 CTS851974:CTT851974 DDO851974:DDP851974 DNK851974:DNL851974 DXG851974:DXH851974 EHC851974:EHD851974 EQY851974:EQZ851974 FAU851974:FAV851974 FKQ851974:FKR851974 FUM851974:FUN851974 GEI851974:GEJ851974 GOE851974:GOF851974 GYA851974:GYB851974 HHW851974:HHX851974 HRS851974:HRT851974 IBO851974:IBP851974 ILK851974:ILL851974 IVG851974:IVH851974 JFC851974:JFD851974 JOY851974:JOZ851974 JYU851974:JYV851974 KIQ851974:KIR851974 KSM851974:KSN851974 LCI851974:LCJ851974 LME851974:LMF851974 LWA851974:LWB851974 MFW851974:MFX851974 MPS851974:MPT851974 MZO851974:MZP851974 NJK851974:NJL851974 NTG851974:NTH851974 ODC851974:ODD851974 OMY851974:OMZ851974 OWU851974:OWV851974 PGQ851974:PGR851974 PQM851974:PQN851974 QAI851974:QAJ851974 QKE851974:QKF851974 QUA851974:QUB851974 RDW851974:RDX851974 RNS851974:RNT851974 RXO851974:RXP851974 SHK851974:SHL851974 SRG851974:SRH851974 TBC851974:TBD851974 TKY851974:TKZ851974 TUU851974:TUV851974 UEQ851974:UER851974 UOM851974:UON851974 UYI851974:UYJ851974 VIE851974:VIF851974 VSA851974:VSB851974 WBW851974:WBX851974 WLS851974:WLT851974 WVO851974:WVP851974 H983046 JC917510:JD917510 SY917510:SZ917510 ACU917510:ACV917510 AMQ917510:AMR917510 AWM917510:AWN917510 BGI917510:BGJ917510 BQE917510:BQF917510 CAA917510:CAB917510 CJW917510:CJX917510 CTS917510:CTT917510 DDO917510:DDP917510 DNK917510:DNL917510 DXG917510:DXH917510 EHC917510:EHD917510 EQY917510:EQZ917510 FAU917510:FAV917510 FKQ917510:FKR917510 FUM917510:FUN917510 GEI917510:GEJ917510 GOE917510:GOF917510 GYA917510:GYB917510 HHW917510:HHX917510 HRS917510:HRT917510 IBO917510:IBP917510 ILK917510:ILL917510 IVG917510:IVH917510 JFC917510:JFD917510 JOY917510:JOZ917510 JYU917510:JYV917510 KIQ917510:KIR917510 KSM917510:KSN917510 LCI917510:LCJ917510 LME917510:LMF917510 LWA917510:LWB917510 MFW917510:MFX917510 MPS917510:MPT917510 MZO917510:MZP917510 NJK917510:NJL917510 NTG917510:NTH917510 ODC917510:ODD917510 OMY917510:OMZ917510 OWU917510:OWV917510 PGQ917510:PGR917510 PQM917510:PQN917510 QAI917510:QAJ917510 QKE917510:QKF917510 QUA917510:QUB917510 RDW917510:RDX917510 RNS917510:RNT917510 RXO917510:RXP917510 SHK917510:SHL917510 SRG917510:SRH917510 TBC917510:TBD917510 TKY917510:TKZ917510 TUU917510:TUV917510 UEQ917510:UER917510 UOM917510:UON917510 UYI917510:UYJ917510 VIE917510:VIF917510 VSA917510:VSB917510 WBW917510:WBX917510 WLS917510:WLT917510 WVO917510:WVP917510 WVO983046:WVP983046 JC983046:JD983046 SY983046:SZ983046 ACU983046:ACV983046 AMQ983046:AMR983046 AWM983046:AWN983046 BGI983046:BGJ983046 BQE983046:BQF983046 CAA983046:CAB983046 CJW983046:CJX983046 CTS983046:CTT983046 DDO983046:DDP983046 DNK983046:DNL983046 DXG983046:DXH983046 EHC983046:EHD983046 EQY983046:EQZ983046 FAU983046:FAV983046 FKQ983046:FKR983046 FUM983046:FUN983046 GEI983046:GEJ983046 GOE983046:GOF983046 GYA983046:GYB983046 HHW983046:HHX983046 HRS983046:HRT983046 IBO983046:IBP983046 ILK983046:ILL983046 IVG983046:IVH983046 JFC983046:JFD983046 JOY983046:JOZ983046 JYU983046:JYV983046 KIQ983046:KIR983046 KSM983046:KSN983046 LCI983046:LCJ983046 LME983046:LMF983046 LWA983046:LWB983046 MFW983046:MFX983046 MPS983046:MPT983046 MZO983046:MZP983046 NJK983046:NJL983046 NTG983046:NTH983046 ODC983046:ODD983046 OMY983046:OMZ983046 OWU983046:OWV983046 PGQ983046:PGR983046 PQM983046:PQN983046 QAI983046:QAJ983046 QKE983046:QKF983046 QUA983046:QUB983046 RDW983046:RDX983046 RNS983046:RNT983046 RXO983046:RXP983046 SHK983046:SHL983046 SRG983046:SRH983046 TBC983046:TBD983046 TKY983046:TKZ983046 TUU983046:TUV983046 UEQ983046:UER983046 UOM983046:UON983046 UYI983046:UYJ983046 VIE983046:VIF983046 VSA983046:VSB983046 WBW983046:WBX983046 WLS983046:WLT983046 H4" xr:uid="{00000000-0002-0000-0200-000001000000}">
      <formula1>1000000</formula1>
      <formula2>1009999</formula2>
    </dataValidation>
    <dataValidation type="whole" allowBlank="1" showInputMessage="1" showErrorMessage="1" prompt="ID ou Chapa: Número de 7 dígitos referente à matrícula na empresa." sqref="WVK983047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xr:uid="{00000000-0002-0000-0200-000002000000}">
      <formula1>1000000</formula1>
      <formula2>1009999</formula2>
    </dataValidation>
    <dataValidation type="list" allowBlank="1" showInputMessage="1" showErrorMessage="1" prompt="Escolha o grupo de Job Grades" sqref="C65556:D65556 SU18:SV18 ACQ18:ACR18 AMM18:AMN18 AWI18:AWJ18 BGE18:BGF18 BQA18:BQB18 BZW18:BZX18 CJS18:CJT18 CTO18:CTP18 DDK18:DDL18 DNG18:DNH18 DXC18:DXD18 EGY18:EGZ18 EQU18:EQV18 FAQ18:FAR18 FKM18:FKN18 FUI18:FUJ18 GEE18:GEF18 GOA18:GOB18 GXW18:GXX18 HHS18:HHT18 HRO18:HRP18 IBK18:IBL18 ILG18:ILH18 IVC18:IVD18 JEY18:JEZ18 JOU18:JOV18 JYQ18:JYR18 KIM18:KIN18 KSI18:KSJ18 LCE18:LCF18 LMA18:LMB18 LVW18:LVX18 MFS18:MFT18 MPO18:MPP18 MZK18:MZL18 NJG18:NJH18 NTC18:NTD18 OCY18:OCZ18 OMU18:OMV18 OWQ18:OWR18 PGM18:PGN18 PQI18:PQJ18 QAE18:QAF18 QKA18:QKB18 QTW18:QTX18 RDS18:RDT18 RNO18:RNP18 RXK18:RXL18 SHG18:SHH18 SRC18:SRD18 TAY18:TAZ18 TKU18:TKV18 TUQ18:TUR18 UEM18:UEN18 UOI18:UOJ18 UYE18:UYF18 VIA18:VIB18 VRW18:VRX18 WBS18:WBT18 WLO18:WLP18 WVK18:WVL18 IY65556:IZ65556 SU65556:SV65556 ACQ65556:ACR65556 AMM65556:AMN65556 AWI65556:AWJ65556 BGE65556:BGF65556 BQA65556:BQB65556 BZW65556:BZX65556 CJS65556:CJT65556 CTO65556:CTP65556 DDK65556:DDL65556 DNG65556:DNH65556 DXC65556:DXD65556 EGY65556:EGZ65556 EQU65556:EQV65556 FAQ65556:FAR65556 FKM65556:FKN65556 FUI65556:FUJ65556 GEE65556:GEF65556 GOA65556:GOB65556 GXW65556:GXX65556 HHS65556:HHT65556 HRO65556:HRP65556 IBK65556:IBL65556 ILG65556:ILH65556 IVC65556:IVD65556 JEY65556:JEZ65556 JOU65556:JOV65556 JYQ65556:JYR65556 KIM65556:KIN65556 KSI65556:KSJ65556 LCE65556:LCF65556 LMA65556:LMB65556 LVW65556:LVX65556 MFS65556:MFT65556 MPO65556:MPP65556 MZK65556:MZL65556 NJG65556:NJH65556 NTC65556:NTD65556 OCY65556:OCZ65556 OMU65556:OMV65556 OWQ65556:OWR65556 PGM65556:PGN65556 PQI65556:PQJ65556 QAE65556:QAF65556 QKA65556:QKB65556 QTW65556:QTX65556 RDS65556:RDT65556 RNO65556:RNP65556 RXK65556:RXL65556 SHG65556:SHH65556 SRC65556:SRD65556 TAY65556:TAZ65556 TKU65556:TKV65556 TUQ65556:TUR65556 UEM65556:UEN65556 UOI65556:UOJ65556 UYE65556:UYF65556 VIA65556:VIB65556 VRW65556:VRX65556 WBS65556:WBT65556 WLO65556:WLP65556 WVK65556:WVL65556 IY131092:IZ131092 SU131092:SV131092 ACQ131092:ACR131092 AMM131092:AMN131092 AWI131092:AWJ131092 BGE131092:BGF131092 BQA131092:BQB131092 BZW131092:BZX131092 CJS131092:CJT131092 CTO131092:CTP131092 DDK131092:DDL131092 DNG131092:DNH131092 DXC131092:DXD131092 EGY131092:EGZ131092 EQU131092:EQV131092 FAQ131092:FAR131092 FKM131092:FKN131092 FUI131092:FUJ131092 GEE131092:GEF131092 GOA131092:GOB131092 GXW131092:GXX131092 HHS131092:HHT131092 HRO131092:HRP131092 IBK131092:IBL131092 ILG131092:ILH131092 IVC131092:IVD131092 JEY131092:JEZ131092 JOU131092:JOV131092 JYQ131092:JYR131092 KIM131092:KIN131092 KSI131092:KSJ131092 LCE131092:LCF131092 LMA131092:LMB131092 LVW131092:LVX131092 MFS131092:MFT131092 MPO131092:MPP131092 MZK131092:MZL131092 NJG131092:NJH131092 NTC131092:NTD131092 OCY131092:OCZ131092 OMU131092:OMV131092 OWQ131092:OWR131092 PGM131092:PGN131092 PQI131092:PQJ131092 QAE131092:QAF131092 QKA131092:QKB131092 QTW131092:QTX131092 RDS131092:RDT131092 RNO131092:RNP131092 RXK131092:RXL131092 SHG131092:SHH131092 SRC131092:SRD131092 TAY131092:TAZ131092 TKU131092:TKV131092 TUQ131092:TUR131092 UEM131092:UEN131092 UOI131092:UOJ131092 UYE131092:UYF131092 VIA131092:VIB131092 VRW131092:VRX131092 WBS131092:WBT131092 WLO131092:WLP131092 WVK131092:WVL131092 IY196628:IZ196628 SU196628:SV196628 ACQ196628:ACR196628 AMM196628:AMN196628 AWI196628:AWJ196628 BGE196628:BGF196628 BQA196628:BQB196628 BZW196628:BZX196628 CJS196628:CJT196628 CTO196628:CTP196628 DDK196628:DDL196628 DNG196628:DNH196628 DXC196628:DXD196628 EGY196628:EGZ196628 EQU196628:EQV196628 FAQ196628:FAR196628 FKM196628:FKN196628 FUI196628:FUJ196628 GEE196628:GEF196628 GOA196628:GOB196628 GXW196628:GXX196628 HHS196628:HHT196628 HRO196628:HRP196628 IBK196628:IBL196628 ILG196628:ILH196628 IVC196628:IVD196628 JEY196628:JEZ196628 JOU196628:JOV196628 JYQ196628:JYR196628 KIM196628:KIN196628 KSI196628:KSJ196628 LCE196628:LCF196628 LMA196628:LMB196628 LVW196628:LVX196628 MFS196628:MFT196628 MPO196628:MPP196628 MZK196628:MZL196628 NJG196628:NJH196628 NTC196628:NTD196628 OCY196628:OCZ196628 OMU196628:OMV196628 OWQ196628:OWR196628 PGM196628:PGN196628 PQI196628:PQJ196628 QAE196628:QAF196628 QKA196628:QKB196628 QTW196628:QTX196628 RDS196628:RDT196628 RNO196628:RNP196628 RXK196628:RXL196628 SHG196628:SHH196628 SRC196628:SRD196628 TAY196628:TAZ196628 TKU196628:TKV196628 TUQ196628:TUR196628 UEM196628:UEN196628 UOI196628:UOJ196628 UYE196628:UYF196628 VIA196628:VIB196628 VRW196628:VRX196628 WBS196628:WBT196628 WLO196628:WLP196628 WVK196628:WVL196628 IY262164:IZ262164 SU262164:SV262164 ACQ262164:ACR262164 AMM262164:AMN262164 AWI262164:AWJ262164 BGE262164:BGF262164 BQA262164:BQB262164 BZW262164:BZX262164 CJS262164:CJT262164 CTO262164:CTP262164 DDK262164:DDL262164 DNG262164:DNH262164 DXC262164:DXD262164 EGY262164:EGZ262164 EQU262164:EQV262164 FAQ262164:FAR262164 FKM262164:FKN262164 FUI262164:FUJ262164 GEE262164:GEF262164 GOA262164:GOB262164 GXW262164:GXX262164 HHS262164:HHT262164 HRO262164:HRP262164 IBK262164:IBL262164 ILG262164:ILH262164 IVC262164:IVD262164 JEY262164:JEZ262164 JOU262164:JOV262164 JYQ262164:JYR262164 KIM262164:KIN262164 KSI262164:KSJ262164 LCE262164:LCF262164 LMA262164:LMB262164 LVW262164:LVX262164 MFS262164:MFT262164 MPO262164:MPP262164 MZK262164:MZL262164 NJG262164:NJH262164 NTC262164:NTD262164 OCY262164:OCZ262164 OMU262164:OMV262164 OWQ262164:OWR262164 PGM262164:PGN262164 PQI262164:PQJ262164 QAE262164:QAF262164 QKA262164:QKB262164 QTW262164:QTX262164 RDS262164:RDT262164 RNO262164:RNP262164 RXK262164:RXL262164 SHG262164:SHH262164 SRC262164:SRD262164 TAY262164:TAZ262164 TKU262164:TKV262164 TUQ262164:TUR262164 UEM262164:UEN262164 UOI262164:UOJ262164 UYE262164:UYF262164 VIA262164:VIB262164 VRW262164:VRX262164 WBS262164:WBT262164 WLO262164:WLP262164 WVK262164:WVL262164 IY327700:IZ327700 SU327700:SV327700 ACQ327700:ACR327700 AMM327700:AMN327700 AWI327700:AWJ327700 BGE327700:BGF327700 BQA327700:BQB327700 BZW327700:BZX327700 CJS327700:CJT327700 CTO327700:CTP327700 DDK327700:DDL327700 DNG327700:DNH327700 DXC327700:DXD327700 EGY327700:EGZ327700 EQU327700:EQV327700 FAQ327700:FAR327700 FKM327700:FKN327700 FUI327700:FUJ327700 GEE327700:GEF327700 GOA327700:GOB327700 GXW327700:GXX327700 HHS327700:HHT327700 HRO327700:HRP327700 IBK327700:IBL327700 ILG327700:ILH327700 IVC327700:IVD327700 JEY327700:JEZ327700 JOU327700:JOV327700 JYQ327700:JYR327700 KIM327700:KIN327700 KSI327700:KSJ327700 LCE327700:LCF327700 LMA327700:LMB327700 LVW327700:LVX327700 MFS327700:MFT327700 MPO327700:MPP327700 MZK327700:MZL327700 NJG327700:NJH327700 NTC327700:NTD327700 OCY327700:OCZ327700 OMU327700:OMV327700 OWQ327700:OWR327700 PGM327700:PGN327700 PQI327700:PQJ327700 QAE327700:QAF327700 QKA327700:QKB327700 QTW327700:QTX327700 RDS327700:RDT327700 RNO327700:RNP327700 RXK327700:RXL327700 SHG327700:SHH327700 SRC327700:SRD327700 TAY327700:TAZ327700 TKU327700:TKV327700 TUQ327700:TUR327700 UEM327700:UEN327700 UOI327700:UOJ327700 UYE327700:UYF327700 VIA327700:VIB327700 VRW327700:VRX327700 WBS327700:WBT327700 WLO327700:WLP327700 WVK327700:WVL327700 IY393236:IZ393236 SU393236:SV393236 ACQ393236:ACR393236 AMM393236:AMN393236 AWI393236:AWJ393236 BGE393236:BGF393236 BQA393236:BQB393236 BZW393236:BZX393236 CJS393236:CJT393236 CTO393236:CTP393236 DDK393236:DDL393236 DNG393236:DNH393236 DXC393236:DXD393236 EGY393236:EGZ393236 EQU393236:EQV393236 FAQ393236:FAR393236 FKM393236:FKN393236 FUI393236:FUJ393236 GEE393236:GEF393236 GOA393236:GOB393236 GXW393236:GXX393236 HHS393236:HHT393236 HRO393236:HRP393236 IBK393236:IBL393236 ILG393236:ILH393236 IVC393236:IVD393236 JEY393236:JEZ393236 JOU393236:JOV393236 JYQ393236:JYR393236 KIM393236:KIN393236 KSI393236:KSJ393236 LCE393236:LCF393236 LMA393236:LMB393236 LVW393236:LVX393236 MFS393236:MFT393236 MPO393236:MPP393236 MZK393236:MZL393236 NJG393236:NJH393236 NTC393236:NTD393236 OCY393236:OCZ393236 OMU393236:OMV393236 OWQ393236:OWR393236 PGM393236:PGN393236 PQI393236:PQJ393236 QAE393236:QAF393236 QKA393236:QKB393236 QTW393236:QTX393236 RDS393236:RDT393236 RNO393236:RNP393236 RXK393236:RXL393236 SHG393236:SHH393236 SRC393236:SRD393236 TAY393236:TAZ393236 TKU393236:TKV393236 TUQ393236:TUR393236 UEM393236:UEN393236 UOI393236:UOJ393236 UYE393236:UYF393236 VIA393236:VIB393236 VRW393236:VRX393236 WBS393236:WBT393236 WLO393236:WLP393236 WVK393236:WVL393236 IY458772:IZ458772 SU458772:SV458772 ACQ458772:ACR458772 AMM458772:AMN458772 AWI458772:AWJ458772 BGE458772:BGF458772 BQA458772:BQB458772 BZW458772:BZX458772 CJS458772:CJT458772 CTO458772:CTP458772 DDK458772:DDL458772 DNG458772:DNH458772 DXC458772:DXD458772 EGY458772:EGZ458772 EQU458772:EQV458772 FAQ458772:FAR458772 FKM458772:FKN458772 FUI458772:FUJ458772 GEE458772:GEF458772 GOA458772:GOB458772 GXW458772:GXX458772 HHS458772:HHT458772 HRO458772:HRP458772 IBK458772:IBL458772 ILG458772:ILH458772 IVC458772:IVD458772 JEY458772:JEZ458772 JOU458772:JOV458772 JYQ458772:JYR458772 KIM458772:KIN458772 KSI458772:KSJ458772 LCE458772:LCF458772 LMA458772:LMB458772 LVW458772:LVX458772 MFS458772:MFT458772 MPO458772:MPP458772 MZK458772:MZL458772 NJG458772:NJH458772 NTC458772:NTD458772 OCY458772:OCZ458772 OMU458772:OMV458772 OWQ458772:OWR458772 PGM458772:PGN458772 PQI458772:PQJ458772 QAE458772:QAF458772 QKA458772:QKB458772 QTW458772:QTX458772 RDS458772:RDT458772 RNO458772:RNP458772 RXK458772:RXL458772 SHG458772:SHH458772 SRC458772:SRD458772 TAY458772:TAZ458772 TKU458772:TKV458772 TUQ458772:TUR458772 UEM458772:UEN458772 UOI458772:UOJ458772 UYE458772:UYF458772 VIA458772:VIB458772 VRW458772:VRX458772 WBS458772:WBT458772 WLO458772:WLP458772 WVK458772:WVL458772 IY524308:IZ524308 SU524308:SV524308 ACQ524308:ACR524308 AMM524308:AMN524308 AWI524308:AWJ524308 BGE524308:BGF524308 BQA524308:BQB524308 BZW524308:BZX524308 CJS524308:CJT524308 CTO524308:CTP524308 DDK524308:DDL524308 DNG524308:DNH524308 DXC524308:DXD524308 EGY524308:EGZ524308 EQU524308:EQV524308 FAQ524308:FAR524308 FKM524308:FKN524308 FUI524308:FUJ524308 GEE524308:GEF524308 GOA524308:GOB524308 GXW524308:GXX524308 HHS524308:HHT524308 HRO524308:HRP524308 IBK524308:IBL524308 ILG524308:ILH524308 IVC524308:IVD524308 JEY524308:JEZ524308 JOU524308:JOV524308 JYQ524308:JYR524308 KIM524308:KIN524308 KSI524308:KSJ524308 LCE524308:LCF524308 LMA524308:LMB524308 LVW524308:LVX524308 MFS524308:MFT524308 MPO524308:MPP524308 MZK524308:MZL524308 NJG524308:NJH524308 NTC524308:NTD524308 OCY524308:OCZ524308 OMU524308:OMV524308 OWQ524308:OWR524308 PGM524308:PGN524308 PQI524308:PQJ524308 QAE524308:QAF524308 QKA524308:QKB524308 QTW524308:QTX524308 RDS524308:RDT524308 RNO524308:RNP524308 RXK524308:RXL524308 SHG524308:SHH524308 SRC524308:SRD524308 TAY524308:TAZ524308 TKU524308:TKV524308 TUQ524308:TUR524308 UEM524308:UEN524308 UOI524308:UOJ524308 UYE524308:UYF524308 VIA524308:VIB524308 VRW524308:VRX524308 WBS524308:WBT524308 WLO524308:WLP524308 WVK524308:WVL524308 IY589844:IZ589844 SU589844:SV589844 ACQ589844:ACR589844 AMM589844:AMN589844 AWI589844:AWJ589844 BGE589844:BGF589844 BQA589844:BQB589844 BZW589844:BZX589844 CJS589844:CJT589844 CTO589844:CTP589844 DDK589844:DDL589844 DNG589844:DNH589844 DXC589844:DXD589844 EGY589844:EGZ589844 EQU589844:EQV589844 FAQ589844:FAR589844 FKM589844:FKN589844 FUI589844:FUJ589844 GEE589844:GEF589844 GOA589844:GOB589844 GXW589844:GXX589844 HHS589844:HHT589844 HRO589844:HRP589844 IBK589844:IBL589844 ILG589844:ILH589844 IVC589844:IVD589844 JEY589844:JEZ589844 JOU589844:JOV589844 JYQ589844:JYR589844 KIM589844:KIN589844 KSI589844:KSJ589844 LCE589844:LCF589844 LMA589844:LMB589844 LVW589844:LVX589844 MFS589844:MFT589844 MPO589844:MPP589844 MZK589844:MZL589844 NJG589844:NJH589844 NTC589844:NTD589844 OCY589844:OCZ589844 OMU589844:OMV589844 OWQ589844:OWR589844 PGM589844:PGN589844 PQI589844:PQJ589844 QAE589844:QAF589844 QKA589844:QKB589844 QTW589844:QTX589844 RDS589844:RDT589844 RNO589844:RNP589844 RXK589844:RXL589844 SHG589844:SHH589844 SRC589844:SRD589844 TAY589844:TAZ589844 TKU589844:TKV589844 TUQ589844:TUR589844 UEM589844:UEN589844 UOI589844:UOJ589844 UYE589844:UYF589844 VIA589844:VIB589844 VRW589844:VRX589844 WBS589844:WBT589844 WLO589844:WLP589844 WVK589844:WVL589844 IY655380:IZ655380 SU655380:SV655380 ACQ655380:ACR655380 AMM655380:AMN655380 AWI655380:AWJ655380 BGE655380:BGF655380 BQA655380:BQB655380 BZW655380:BZX655380 CJS655380:CJT655380 CTO655380:CTP655380 DDK655380:DDL655380 DNG655380:DNH655380 DXC655380:DXD655380 EGY655380:EGZ655380 EQU655380:EQV655380 FAQ655380:FAR655380 FKM655380:FKN655380 FUI655380:FUJ655380 GEE655380:GEF655380 GOA655380:GOB655380 GXW655380:GXX655380 HHS655380:HHT655380 HRO655380:HRP655380 IBK655380:IBL655380 ILG655380:ILH655380 IVC655380:IVD655380 JEY655380:JEZ655380 JOU655380:JOV655380 JYQ655380:JYR655380 KIM655380:KIN655380 KSI655380:KSJ655380 LCE655380:LCF655380 LMA655380:LMB655380 LVW655380:LVX655380 MFS655380:MFT655380 MPO655380:MPP655380 MZK655380:MZL655380 NJG655380:NJH655380 NTC655380:NTD655380 OCY655380:OCZ655380 OMU655380:OMV655380 OWQ655380:OWR655380 PGM655380:PGN655380 PQI655380:PQJ655380 QAE655380:QAF655380 QKA655380:QKB655380 QTW655380:QTX655380 RDS655380:RDT655380 RNO655380:RNP655380 RXK655380:RXL655380 SHG655380:SHH655380 SRC655380:SRD655380 TAY655380:TAZ655380 TKU655380:TKV655380 TUQ655380:TUR655380 UEM655380:UEN655380 UOI655380:UOJ655380 UYE655380:UYF655380 VIA655380:VIB655380 VRW655380:VRX655380 WBS655380:WBT655380 WLO655380:WLP655380 WVK655380:WVL655380 IY720916:IZ720916 SU720916:SV720916 ACQ720916:ACR720916 AMM720916:AMN720916 AWI720916:AWJ720916 BGE720916:BGF720916 BQA720916:BQB720916 BZW720916:BZX720916 CJS720916:CJT720916 CTO720916:CTP720916 DDK720916:DDL720916 DNG720916:DNH720916 DXC720916:DXD720916 EGY720916:EGZ720916 EQU720916:EQV720916 FAQ720916:FAR720916 FKM720916:FKN720916 FUI720916:FUJ720916 GEE720916:GEF720916 GOA720916:GOB720916 GXW720916:GXX720916 HHS720916:HHT720916 HRO720916:HRP720916 IBK720916:IBL720916 ILG720916:ILH720916 IVC720916:IVD720916 JEY720916:JEZ720916 JOU720916:JOV720916 JYQ720916:JYR720916 KIM720916:KIN720916 KSI720916:KSJ720916 LCE720916:LCF720916 LMA720916:LMB720916 LVW720916:LVX720916 MFS720916:MFT720916 MPO720916:MPP720916 MZK720916:MZL720916 NJG720916:NJH720916 NTC720916:NTD720916 OCY720916:OCZ720916 OMU720916:OMV720916 OWQ720916:OWR720916 PGM720916:PGN720916 PQI720916:PQJ720916 QAE720916:QAF720916 QKA720916:QKB720916 QTW720916:QTX720916 RDS720916:RDT720916 RNO720916:RNP720916 RXK720916:RXL720916 SHG720916:SHH720916 SRC720916:SRD720916 TAY720916:TAZ720916 TKU720916:TKV720916 TUQ720916:TUR720916 UEM720916:UEN720916 UOI720916:UOJ720916 UYE720916:UYF720916 VIA720916:VIB720916 VRW720916:VRX720916 WBS720916:WBT720916 WLO720916:WLP720916 WVK720916:WVL720916 IY786452:IZ786452 SU786452:SV786452 ACQ786452:ACR786452 AMM786452:AMN786452 AWI786452:AWJ786452 BGE786452:BGF786452 BQA786452:BQB786452 BZW786452:BZX786452 CJS786452:CJT786452 CTO786452:CTP786452 DDK786452:DDL786452 DNG786452:DNH786452 DXC786452:DXD786452 EGY786452:EGZ786452 EQU786452:EQV786452 FAQ786452:FAR786452 FKM786452:FKN786452 FUI786452:FUJ786452 GEE786452:GEF786452 GOA786452:GOB786452 GXW786452:GXX786452 HHS786452:HHT786452 HRO786452:HRP786452 IBK786452:IBL786452 ILG786452:ILH786452 IVC786452:IVD786452 JEY786452:JEZ786452 JOU786452:JOV786452 JYQ786452:JYR786452 KIM786452:KIN786452 KSI786452:KSJ786452 LCE786452:LCF786452 LMA786452:LMB786452 LVW786452:LVX786452 MFS786452:MFT786452 MPO786452:MPP786452 MZK786452:MZL786452 NJG786452:NJH786452 NTC786452:NTD786452 OCY786452:OCZ786452 OMU786452:OMV786452 OWQ786452:OWR786452 PGM786452:PGN786452 PQI786452:PQJ786452 QAE786452:QAF786452 QKA786452:QKB786452 QTW786452:QTX786452 RDS786452:RDT786452 RNO786452:RNP786452 RXK786452:RXL786452 SHG786452:SHH786452 SRC786452:SRD786452 TAY786452:TAZ786452 TKU786452:TKV786452 TUQ786452:TUR786452 UEM786452:UEN786452 UOI786452:UOJ786452 UYE786452:UYF786452 VIA786452:VIB786452 VRW786452:VRX786452 WBS786452:WBT786452 WLO786452:WLP786452 WVK786452:WVL786452 IY851988:IZ851988 SU851988:SV851988 ACQ851988:ACR851988 AMM851988:AMN851988 AWI851988:AWJ851988 BGE851988:BGF851988 BQA851988:BQB851988 BZW851988:BZX851988 CJS851988:CJT851988 CTO851988:CTP851988 DDK851988:DDL851988 DNG851988:DNH851988 DXC851988:DXD851988 EGY851988:EGZ851988 EQU851988:EQV851988 FAQ851988:FAR851988 FKM851988:FKN851988 FUI851988:FUJ851988 GEE851988:GEF851988 GOA851988:GOB851988 GXW851988:GXX851988 HHS851988:HHT851988 HRO851988:HRP851988 IBK851988:IBL851988 ILG851988:ILH851988 IVC851988:IVD851988 JEY851988:JEZ851988 JOU851988:JOV851988 JYQ851988:JYR851988 KIM851988:KIN851988 KSI851988:KSJ851988 LCE851988:LCF851988 LMA851988:LMB851988 LVW851988:LVX851988 MFS851988:MFT851988 MPO851988:MPP851988 MZK851988:MZL851988 NJG851988:NJH851988 NTC851988:NTD851988 OCY851988:OCZ851988 OMU851988:OMV851988 OWQ851988:OWR851988 PGM851988:PGN851988 PQI851988:PQJ851988 QAE851988:QAF851988 QKA851988:QKB851988 QTW851988:QTX851988 RDS851988:RDT851988 RNO851988:RNP851988 RXK851988:RXL851988 SHG851988:SHH851988 SRC851988:SRD851988 TAY851988:TAZ851988 TKU851988:TKV851988 TUQ851988:TUR851988 UEM851988:UEN851988 UOI851988:UOJ851988 UYE851988:UYF851988 VIA851988:VIB851988 VRW851988:VRX851988 WBS851988:WBT851988 WLO851988:WLP851988 WVK851988:WVL851988 IY917524:IZ917524 SU917524:SV917524 ACQ917524:ACR917524 AMM917524:AMN917524 AWI917524:AWJ917524 BGE917524:BGF917524 BQA917524:BQB917524 BZW917524:BZX917524 CJS917524:CJT917524 CTO917524:CTP917524 DDK917524:DDL917524 DNG917524:DNH917524 DXC917524:DXD917524 EGY917524:EGZ917524 EQU917524:EQV917524 FAQ917524:FAR917524 FKM917524:FKN917524 FUI917524:FUJ917524 GEE917524:GEF917524 GOA917524:GOB917524 GXW917524:GXX917524 HHS917524:HHT917524 HRO917524:HRP917524 IBK917524:IBL917524 ILG917524:ILH917524 IVC917524:IVD917524 JEY917524:JEZ917524 JOU917524:JOV917524 JYQ917524:JYR917524 KIM917524:KIN917524 KSI917524:KSJ917524 LCE917524:LCF917524 LMA917524:LMB917524 LVW917524:LVX917524 MFS917524:MFT917524 MPO917524:MPP917524 MZK917524:MZL917524 NJG917524:NJH917524 NTC917524:NTD917524 OCY917524:OCZ917524 OMU917524:OMV917524 OWQ917524:OWR917524 PGM917524:PGN917524 PQI917524:PQJ917524 QAE917524:QAF917524 QKA917524:QKB917524 QTW917524:QTX917524 RDS917524:RDT917524 RNO917524:RNP917524 RXK917524:RXL917524 SHG917524:SHH917524 SRC917524:SRD917524 TAY917524:TAZ917524 TKU917524:TKV917524 TUQ917524:TUR917524 UEM917524:UEN917524 UOI917524:UOJ917524 UYE917524:UYF917524 VIA917524:VIB917524 VRW917524:VRX917524 WBS917524:WBT917524 WLO917524:WLP917524 WVK917524:WVL917524 IY983060:IZ983060 SU983060:SV983060 ACQ983060:ACR983060 AMM983060:AMN983060 AWI983060:AWJ983060 BGE983060:BGF983060 BQA983060:BQB983060 BZW983060:BZX983060 CJS983060:CJT983060 CTO983060:CTP983060 DDK983060:DDL983060 DNG983060:DNH983060 DXC983060:DXD983060 EGY983060:EGZ983060 EQU983060:EQV983060 FAQ983060:FAR983060 FKM983060:FKN983060 FUI983060:FUJ983060 GEE983060:GEF983060 GOA983060:GOB983060 GXW983060:GXX983060 HHS983060:HHT983060 HRO983060:HRP983060 IBK983060:IBL983060 ILG983060:ILH983060 IVC983060:IVD983060 JEY983060:JEZ983060 JOU983060:JOV983060 JYQ983060:JYR983060 KIM983060:KIN983060 KSI983060:KSJ983060 LCE983060:LCF983060 LMA983060:LMB983060 LVW983060:LVX983060 MFS983060:MFT983060 MPO983060:MPP983060 MZK983060:MZL983060 NJG983060:NJH983060 NTC983060:NTD983060 OCY983060:OCZ983060 OMU983060:OMV983060 OWQ983060:OWR983060 PGM983060:PGN983060 PQI983060:PQJ983060 QAE983060:QAF983060 QKA983060:QKB983060 QTW983060:QTX983060 RDS983060:RDT983060 RNO983060:RNP983060 RXK983060:RXL983060 SHG983060:SHH983060 SRC983060:SRD983060 TAY983060:TAZ983060 TKU983060:TKV983060 TUQ983060:TUR983060 UEM983060:UEN983060 UOI983060:UOJ983060 UYE983060:UYF983060 VIA983060:VIB983060 VRW983060:VRX983060 WBS983060:WBT983060 WLO983060:WLP983060 WVK983060:WVL983060 IY18:IZ18 F65556 F131092 F196628 F262164 F327700 F393236 F458772 F524308 F589844 F655380 F720916 F786452 F851988 F917524 F983060 C983060:D983060 C917524:D917524 C851988:D851988 C786452:D786452 C720916:D720916 C655380:D655380 C589844:D589844 C524308:D524308 C458772:D458772 C393236:D393236 C327700:D327700 C262164:D262164 C196628:D196628 C131092:D131092 SU22:SV22 ACQ22:ACR22 AMM22:AMN22 AWI22:AWJ22 BGE22:BGF22 BQA22:BQB22 BZW22:BZX22 CJS22:CJT22 CTO22:CTP22 DDK22:DDL22 DNG22:DNH22 DXC22:DXD22 EGY22:EGZ22 EQU22:EQV22 FAQ22:FAR22 FKM22:FKN22 FUI22:FUJ22 GEE22:GEF22 GOA22:GOB22 GXW22:GXX22 HHS22:HHT22 HRO22:HRP22 IBK22:IBL22 ILG22:ILH22 IVC22:IVD22 JEY22:JEZ22 JOU22:JOV22 JYQ22:JYR22 KIM22:KIN22 KSI22:KSJ22 LCE22:LCF22 LMA22:LMB22 LVW22:LVX22 MFS22:MFT22 MPO22:MPP22 MZK22:MZL22 NJG22:NJH22 NTC22:NTD22 OCY22:OCZ22 OMU22:OMV22 OWQ22:OWR22 PGM22:PGN22 PQI22:PQJ22 QAE22:QAF22 QKA22:QKB22 QTW22:QTX22 RDS22:RDT22 RNO22:RNP22 RXK22:RXL22 SHG22:SHH22 SRC22:SRD22 TAY22:TAZ22 TKU22:TKV22 TUQ22:TUR22 UEM22:UEN22 UOI22:UOJ22 UYE22:UYF22 VIA22:VIB22 VRW22:VRX22 WBS22:WBT22 WLO22:WLP22 WVK22:WVL22 IY22:IZ22 SU37:SV37 ACQ37:ACR37 AMM37:AMN37 AWI37:AWJ37 BGE37:BGF37 BQA37:BQB37 BZW37:BZX37 CJS37:CJT37 CTO37:CTP37 DDK37:DDL37 DNG37:DNH37 DXC37:DXD37 EGY37:EGZ37 EQU37:EQV37 FAQ37:FAR37 FKM37:FKN37 FUI37:FUJ37 GEE37:GEF37 GOA37:GOB37 GXW37:GXX37 HHS37:HHT37 HRO37:HRP37 IBK37:IBL37 ILG37:ILH37 IVC37:IVD37 JEY37:JEZ37 JOU37:JOV37 JYQ37:JYR37 KIM37:KIN37 KSI37:KSJ37 LCE37:LCF37 LMA37:LMB37 LVW37:LVX37 MFS37:MFT37 MPO37:MPP37 MZK37:MZL37 NJG37:NJH37 NTC37:NTD37 OCY37:OCZ37 OMU37:OMV37 OWQ37:OWR37 PGM37:PGN37 PQI37:PQJ37 QAE37:QAF37 QKA37:QKB37 QTW37:QTX37 RDS37:RDT37 RNO37:RNP37 RXK37:RXL37 SHG37:SHH37 SRC37:SRD37 TAY37:TAZ37 TKU37:TKV37 TUQ37:TUR37 UEM37:UEN37 UOI37:UOJ37 UYE37:UYF37 VIA37:VIB37 VRW37:VRX37 WBS37:WBT37 WLO37:WLP37 WVK37:WVL37 IY37:IZ37 SU40:SV40 ACQ40:ACR40 AMM40:AMN40 AWI40:AWJ40 BGE40:BGF40 BQA40:BQB40 BZW40:BZX40 CJS40:CJT40 CTO40:CTP40 DDK40:DDL40 DNG40:DNH40 DXC40:DXD40 EGY40:EGZ40 EQU40:EQV40 FAQ40:FAR40 FKM40:FKN40 FUI40:FUJ40 GEE40:GEF40 GOA40:GOB40 GXW40:GXX40 HHS40:HHT40 HRO40:HRP40 IBK40:IBL40 ILG40:ILH40 IVC40:IVD40 JEY40:JEZ40 JOU40:JOV40 JYQ40:JYR40 KIM40:KIN40 KSI40:KSJ40 LCE40:LCF40 LMA40:LMB40 LVW40:LVX40 MFS40:MFT40 MPO40:MPP40 MZK40:MZL40 NJG40:NJH40 NTC40:NTD40 OCY40:OCZ40 OMU40:OMV40 OWQ40:OWR40 PGM40:PGN40 PQI40:PQJ40 QAE40:QAF40 QKA40:QKB40 QTW40:QTX40 RDS40:RDT40 RNO40:RNP40 RXK40:RXL40 SHG40:SHH40 SRC40:SRD40 TAY40:TAZ40 TKU40:TKV40 TUQ40:TUR40 UEM40:UEN40 UOI40:UOJ40 UYE40:UYF40 VIA40:VIB40 VRW40:VRX40 WBS40:WBT40 WLO40:WLP40 WVK40:WVL40 IY40:IZ40 SU43:SV43 ACQ43:ACR43 AMM43:AMN43 AWI43:AWJ43 BGE43:BGF43 BQA43:BQB43 BZW43:BZX43 CJS43:CJT43 CTO43:CTP43 DDK43:DDL43 DNG43:DNH43 DXC43:DXD43 EGY43:EGZ43 EQU43:EQV43 FAQ43:FAR43 FKM43:FKN43 FUI43:FUJ43 GEE43:GEF43 GOA43:GOB43 GXW43:GXX43 HHS43:HHT43 HRO43:HRP43 IBK43:IBL43 ILG43:ILH43 IVC43:IVD43 JEY43:JEZ43 JOU43:JOV43 JYQ43:JYR43 KIM43:KIN43 KSI43:KSJ43 LCE43:LCF43 LMA43:LMB43 LVW43:LVX43 MFS43:MFT43 MPO43:MPP43 MZK43:MZL43 NJG43:NJH43 NTC43:NTD43 OCY43:OCZ43 OMU43:OMV43 OWQ43:OWR43 PGM43:PGN43 PQI43:PQJ43 QAE43:QAF43 QKA43:QKB43 QTW43:QTX43 RDS43:RDT43 RNO43:RNP43 RXK43:RXL43 SHG43:SHH43 SRC43:SRD43 TAY43:TAZ43 TKU43:TKV43 TUQ43:TUR43 UEM43:UEN43 UOI43:UOJ43 UYE43:UYF43 VIA43:VIB43 VRW43:VRX43 WBS43:WBT43 WLO43:WLP43 WVK43:WVL43 IY43:IZ43 SU46:SV46 ACQ46:ACR46 AMM46:AMN46 AWI46:AWJ46 BGE46:BGF46 BQA46:BQB46 BZW46:BZX46 CJS46:CJT46 CTO46:CTP46 DDK46:DDL46 DNG46:DNH46 DXC46:DXD46 EGY46:EGZ46 EQU46:EQV46 FAQ46:FAR46 FKM46:FKN46 FUI46:FUJ46 GEE46:GEF46 GOA46:GOB46 GXW46:GXX46 HHS46:HHT46 HRO46:HRP46 IBK46:IBL46 ILG46:ILH46 IVC46:IVD46 JEY46:JEZ46 JOU46:JOV46 JYQ46:JYR46 KIM46:KIN46 KSI46:KSJ46 LCE46:LCF46 LMA46:LMB46 LVW46:LVX46 MFS46:MFT46 MPO46:MPP46 MZK46:MZL46 NJG46:NJH46 NTC46:NTD46 OCY46:OCZ46 OMU46:OMV46 OWQ46:OWR46 PGM46:PGN46 PQI46:PQJ46 QAE46:QAF46 QKA46:QKB46 QTW46:QTX46 RDS46:RDT46 RNO46:RNP46 RXK46:RXL46 SHG46:SHH46 SRC46:SRD46 TAY46:TAZ46 TKU46:TKV46 TUQ46:TUR46 UEM46:UEN46 UOI46:UOJ46 UYE46:UYF46 VIA46:VIB46 VRW46:VRX46 WBS46:WBT46 WLO46:WLP46 WVK46:WVL46 IY46:IZ46 SU49:SV49 ACQ49:ACR49 AMM49:AMN49 AWI49:AWJ49 BGE49:BGF49 BQA49:BQB49 BZW49:BZX49 CJS49:CJT49 CTO49:CTP49 DDK49:DDL49 DNG49:DNH49 DXC49:DXD49 EGY49:EGZ49 EQU49:EQV49 FAQ49:FAR49 FKM49:FKN49 FUI49:FUJ49 GEE49:GEF49 GOA49:GOB49 GXW49:GXX49 HHS49:HHT49 HRO49:HRP49 IBK49:IBL49 ILG49:ILH49 IVC49:IVD49 JEY49:JEZ49 JOU49:JOV49 JYQ49:JYR49 KIM49:KIN49 KSI49:KSJ49 LCE49:LCF49 LMA49:LMB49 LVW49:LVX49 MFS49:MFT49 MPO49:MPP49 MZK49:MZL49 NJG49:NJH49 NTC49:NTD49 OCY49:OCZ49 OMU49:OMV49 OWQ49:OWR49 PGM49:PGN49 PQI49:PQJ49 QAE49:QAF49 QKA49:QKB49 QTW49:QTX49 RDS49:RDT49 RNO49:RNP49 RXK49:RXL49 SHG49:SHH49 SRC49:SRD49 TAY49:TAZ49 TKU49:TKV49 TUQ49:TUR49 UEM49:UEN49 UOI49:UOJ49 UYE49:UYF49 VIA49:VIB49 VRW49:VRX49 WBS49:WBT49 WLO49:WLP49 WVK49:WVL49 IY49:IZ49 SU28:SV28 ACQ28:ACR28 AMM28:AMN28 AWI28:AWJ28 BGE28:BGF28 BQA28:BQB28 BZW28:BZX28 CJS28:CJT28 CTO28:CTP28 DDK28:DDL28 DNG28:DNH28 DXC28:DXD28 EGY28:EGZ28 EQU28:EQV28 FAQ28:FAR28 FKM28:FKN28 FUI28:FUJ28 GEE28:GEF28 GOA28:GOB28 GXW28:GXX28 HHS28:HHT28 HRO28:HRP28 IBK28:IBL28 ILG28:ILH28 IVC28:IVD28 JEY28:JEZ28 JOU28:JOV28 JYQ28:JYR28 KIM28:KIN28 KSI28:KSJ28 LCE28:LCF28 LMA28:LMB28 LVW28:LVX28 MFS28:MFT28 MPO28:MPP28 MZK28:MZL28 NJG28:NJH28 NTC28:NTD28 OCY28:OCZ28 OMU28:OMV28 OWQ28:OWR28 PGM28:PGN28 PQI28:PQJ28 QAE28:QAF28 QKA28:QKB28 QTW28:QTX28 RDS28:RDT28 RNO28:RNP28 RXK28:RXL28 SHG28:SHH28 SRC28:SRD28 TAY28:TAZ28 TKU28:TKV28 TUQ28:TUR28 UEM28:UEN28 UOI28:UOJ28 UYE28:UYF28 VIA28:VIB28 VRW28:VRX28 WBS28:WBT28 WLO28:WLP28 WVK28:WVL28 IY28:IZ28 SU31:SV31 ACQ31:ACR31 AMM31:AMN31 AWI31:AWJ31 BGE31:BGF31 BQA31:BQB31 BZW31:BZX31 CJS31:CJT31 CTO31:CTP31 DDK31:DDL31 DNG31:DNH31 DXC31:DXD31 EGY31:EGZ31 EQU31:EQV31 FAQ31:FAR31 FKM31:FKN31 FUI31:FUJ31 GEE31:GEF31 GOA31:GOB31 GXW31:GXX31 HHS31:HHT31 HRO31:HRP31 IBK31:IBL31 ILG31:ILH31 IVC31:IVD31 JEY31:JEZ31 JOU31:JOV31 JYQ31:JYR31 KIM31:KIN31 KSI31:KSJ31 LCE31:LCF31 LMA31:LMB31 LVW31:LVX31 MFS31:MFT31 MPO31:MPP31 MZK31:MZL31 NJG31:NJH31 NTC31:NTD31 OCY31:OCZ31 OMU31:OMV31 OWQ31:OWR31 PGM31:PGN31 PQI31:PQJ31 QAE31:QAF31 QKA31:QKB31 QTW31:QTX31 RDS31:RDT31 RNO31:RNP31 RXK31:RXL31 SHG31:SHH31 SRC31:SRD31 TAY31:TAZ31 TKU31:TKV31 TUQ31:TUR31 UEM31:UEN31 UOI31:UOJ31 UYE31:UYF31 VIA31:VIB31 VRW31:VRX31 WBS31:WBT31 WLO31:WLP31 WVK31:WVL31 IY31:IZ31 SU34:SV34 ACQ34:ACR34 AMM34:AMN34 AWI34:AWJ34 BGE34:BGF34 BQA34:BQB34 BZW34:BZX34 CJS34:CJT34 CTO34:CTP34 DDK34:DDL34 DNG34:DNH34 DXC34:DXD34 EGY34:EGZ34 EQU34:EQV34 FAQ34:FAR34 FKM34:FKN34 FUI34:FUJ34 GEE34:GEF34 GOA34:GOB34 GXW34:GXX34 HHS34:HHT34 HRO34:HRP34 IBK34:IBL34 ILG34:ILH34 IVC34:IVD34 JEY34:JEZ34 JOU34:JOV34 JYQ34:JYR34 KIM34:KIN34 KSI34:KSJ34 LCE34:LCF34 LMA34:LMB34 LVW34:LVX34 MFS34:MFT34 MPO34:MPP34 MZK34:MZL34 NJG34:NJH34 NTC34:NTD34 OCY34:OCZ34 OMU34:OMV34 OWQ34:OWR34 PGM34:PGN34 PQI34:PQJ34 QAE34:QAF34 QKA34:QKB34 QTW34:QTX34 RDS34:RDT34 RNO34:RNP34 RXK34:RXL34 SHG34:SHH34 SRC34:SRD34 TAY34:TAZ34 TKU34:TKV34 TUQ34:TUR34 UEM34:UEN34 UOI34:UOJ34 UYE34:UYF34 VIA34:VIB34 VRW34:VRX34 WBS34:WBT34 WLO34:WLP34 WVK34:WVL34 IY34:IZ34" xr:uid="{00000000-0002-0000-0200-000003000000}">
      <formula1>#REF!</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2"/>
  <sheetViews>
    <sheetView workbookViewId="0">
      <selection activeCell="G11" sqref="G11"/>
    </sheetView>
  </sheetViews>
  <sheetFormatPr defaultColWidth="9.28515625" defaultRowHeight="12.75" x14ac:dyDescent="0.25"/>
  <cols>
    <col min="1" max="1" width="1.7109375" style="4" customWidth="1"/>
    <col min="2" max="2" width="19.7109375" style="4" customWidth="1"/>
    <col min="3" max="3" width="50.7109375" style="4" customWidth="1"/>
    <col min="4" max="6" width="17.28515625" style="4" customWidth="1"/>
    <col min="7" max="7" width="50.7109375" style="4" customWidth="1"/>
    <col min="8" max="8" width="29" style="4" customWidth="1"/>
    <col min="9" max="17" width="14.5703125" style="4" customWidth="1"/>
    <col min="18" max="18" width="12" style="4" customWidth="1"/>
    <col min="19" max="19" width="17.28515625" style="4" customWidth="1"/>
    <col min="20" max="20" width="11.42578125" style="4" customWidth="1"/>
    <col min="21" max="256" width="9.28515625" style="4"/>
    <col min="257" max="257" width="1.7109375" style="4" customWidth="1"/>
    <col min="258" max="258" width="19.7109375" style="4" customWidth="1"/>
    <col min="259" max="261" width="50.7109375" style="4" customWidth="1"/>
    <col min="262" max="262" width="1.42578125" style="4" customWidth="1"/>
    <col min="263" max="263" width="27.42578125" style="4" customWidth="1"/>
    <col min="264" max="264" width="29" style="4" customWidth="1"/>
    <col min="265" max="273" width="14.5703125" style="4" customWidth="1"/>
    <col min="274" max="274" width="12" style="4" customWidth="1"/>
    <col min="275" max="275" width="17.28515625" style="4" customWidth="1"/>
    <col min="276" max="276" width="11.42578125" style="4" customWidth="1"/>
    <col min="277" max="512" width="9.28515625" style="4"/>
    <col min="513" max="513" width="1.7109375" style="4" customWidth="1"/>
    <col min="514" max="514" width="19.7109375" style="4" customWidth="1"/>
    <col min="515" max="517" width="50.7109375" style="4" customWidth="1"/>
    <col min="518" max="518" width="1.42578125" style="4" customWidth="1"/>
    <col min="519" max="519" width="27.42578125" style="4" customWidth="1"/>
    <col min="520" max="520" width="29" style="4" customWidth="1"/>
    <col min="521" max="529" width="14.5703125" style="4" customWidth="1"/>
    <col min="530" max="530" width="12" style="4" customWidth="1"/>
    <col min="531" max="531" width="17.28515625" style="4" customWidth="1"/>
    <col min="532" max="532" width="11.42578125" style="4" customWidth="1"/>
    <col min="533" max="768" width="9.28515625" style="4"/>
    <col min="769" max="769" width="1.7109375" style="4" customWidth="1"/>
    <col min="770" max="770" width="19.7109375" style="4" customWidth="1"/>
    <col min="771" max="773" width="50.7109375" style="4" customWidth="1"/>
    <col min="774" max="774" width="1.42578125" style="4" customWidth="1"/>
    <col min="775" max="775" width="27.42578125" style="4" customWidth="1"/>
    <col min="776" max="776" width="29" style="4" customWidth="1"/>
    <col min="777" max="785" width="14.5703125" style="4" customWidth="1"/>
    <col min="786" max="786" width="12" style="4" customWidth="1"/>
    <col min="787" max="787" width="17.28515625" style="4" customWidth="1"/>
    <col min="788" max="788" width="11.42578125" style="4" customWidth="1"/>
    <col min="789" max="1024" width="9.28515625" style="4"/>
    <col min="1025" max="1025" width="1.7109375" style="4" customWidth="1"/>
    <col min="1026" max="1026" width="19.7109375" style="4" customWidth="1"/>
    <col min="1027" max="1029" width="50.7109375" style="4" customWidth="1"/>
    <col min="1030" max="1030" width="1.42578125" style="4" customWidth="1"/>
    <col min="1031" max="1031" width="27.42578125" style="4" customWidth="1"/>
    <col min="1032" max="1032" width="29" style="4" customWidth="1"/>
    <col min="1033" max="1041" width="14.5703125" style="4" customWidth="1"/>
    <col min="1042" max="1042" width="12" style="4" customWidth="1"/>
    <col min="1043" max="1043" width="17.28515625" style="4" customWidth="1"/>
    <col min="1044" max="1044" width="11.42578125" style="4" customWidth="1"/>
    <col min="1045" max="1280" width="9.28515625" style="4"/>
    <col min="1281" max="1281" width="1.7109375" style="4" customWidth="1"/>
    <col min="1282" max="1282" width="19.7109375" style="4" customWidth="1"/>
    <col min="1283" max="1285" width="50.7109375" style="4" customWidth="1"/>
    <col min="1286" max="1286" width="1.42578125" style="4" customWidth="1"/>
    <col min="1287" max="1287" width="27.42578125" style="4" customWidth="1"/>
    <col min="1288" max="1288" width="29" style="4" customWidth="1"/>
    <col min="1289" max="1297" width="14.5703125" style="4" customWidth="1"/>
    <col min="1298" max="1298" width="12" style="4" customWidth="1"/>
    <col min="1299" max="1299" width="17.28515625" style="4" customWidth="1"/>
    <col min="1300" max="1300" width="11.42578125" style="4" customWidth="1"/>
    <col min="1301" max="1536" width="9.28515625" style="4"/>
    <col min="1537" max="1537" width="1.7109375" style="4" customWidth="1"/>
    <col min="1538" max="1538" width="19.7109375" style="4" customWidth="1"/>
    <col min="1539" max="1541" width="50.7109375" style="4" customWidth="1"/>
    <col min="1542" max="1542" width="1.42578125" style="4" customWidth="1"/>
    <col min="1543" max="1543" width="27.42578125" style="4" customWidth="1"/>
    <col min="1544" max="1544" width="29" style="4" customWidth="1"/>
    <col min="1545" max="1553" width="14.5703125" style="4" customWidth="1"/>
    <col min="1554" max="1554" width="12" style="4" customWidth="1"/>
    <col min="1555" max="1555" width="17.28515625" style="4" customWidth="1"/>
    <col min="1556" max="1556" width="11.42578125" style="4" customWidth="1"/>
    <col min="1557" max="1792" width="9.28515625" style="4"/>
    <col min="1793" max="1793" width="1.7109375" style="4" customWidth="1"/>
    <col min="1794" max="1794" width="19.7109375" style="4" customWidth="1"/>
    <col min="1795" max="1797" width="50.7109375" style="4" customWidth="1"/>
    <col min="1798" max="1798" width="1.42578125" style="4" customWidth="1"/>
    <col min="1799" max="1799" width="27.42578125" style="4" customWidth="1"/>
    <col min="1800" max="1800" width="29" style="4" customWidth="1"/>
    <col min="1801" max="1809" width="14.5703125" style="4" customWidth="1"/>
    <col min="1810" max="1810" width="12" style="4" customWidth="1"/>
    <col min="1811" max="1811" width="17.28515625" style="4" customWidth="1"/>
    <col min="1812" max="1812" width="11.42578125" style="4" customWidth="1"/>
    <col min="1813" max="2048" width="9.28515625" style="4"/>
    <col min="2049" max="2049" width="1.7109375" style="4" customWidth="1"/>
    <col min="2050" max="2050" width="19.7109375" style="4" customWidth="1"/>
    <col min="2051" max="2053" width="50.7109375" style="4" customWidth="1"/>
    <col min="2054" max="2054" width="1.42578125" style="4" customWidth="1"/>
    <col min="2055" max="2055" width="27.42578125" style="4" customWidth="1"/>
    <col min="2056" max="2056" width="29" style="4" customWidth="1"/>
    <col min="2057" max="2065" width="14.5703125" style="4" customWidth="1"/>
    <col min="2066" max="2066" width="12" style="4" customWidth="1"/>
    <col min="2067" max="2067" width="17.28515625" style="4" customWidth="1"/>
    <col min="2068" max="2068" width="11.42578125" style="4" customWidth="1"/>
    <col min="2069" max="2304" width="9.28515625" style="4"/>
    <col min="2305" max="2305" width="1.7109375" style="4" customWidth="1"/>
    <col min="2306" max="2306" width="19.7109375" style="4" customWidth="1"/>
    <col min="2307" max="2309" width="50.7109375" style="4" customWidth="1"/>
    <col min="2310" max="2310" width="1.42578125" style="4" customWidth="1"/>
    <col min="2311" max="2311" width="27.42578125" style="4" customWidth="1"/>
    <col min="2312" max="2312" width="29" style="4" customWidth="1"/>
    <col min="2313" max="2321" width="14.5703125" style="4" customWidth="1"/>
    <col min="2322" max="2322" width="12" style="4" customWidth="1"/>
    <col min="2323" max="2323" width="17.28515625" style="4" customWidth="1"/>
    <col min="2324" max="2324" width="11.42578125" style="4" customWidth="1"/>
    <col min="2325" max="2560" width="9.28515625" style="4"/>
    <col min="2561" max="2561" width="1.7109375" style="4" customWidth="1"/>
    <col min="2562" max="2562" width="19.7109375" style="4" customWidth="1"/>
    <col min="2563" max="2565" width="50.7109375" style="4" customWidth="1"/>
    <col min="2566" max="2566" width="1.42578125" style="4" customWidth="1"/>
    <col min="2567" max="2567" width="27.42578125" style="4" customWidth="1"/>
    <col min="2568" max="2568" width="29" style="4" customWidth="1"/>
    <col min="2569" max="2577" width="14.5703125" style="4" customWidth="1"/>
    <col min="2578" max="2578" width="12" style="4" customWidth="1"/>
    <col min="2579" max="2579" width="17.28515625" style="4" customWidth="1"/>
    <col min="2580" max="2580" width="11.42578125" style="4" customWidth="1"/>
    <col min="2581" max="2816" width="9.28515625" style="4"/>
    <col min="2817" max="2817" width="1.7109375" style="4" customWidth="1"/>
    <col min="2818" max="2818" width="19.7109375" style="4" customWidth="1"/>
    <col min="2819" max="2821" width="50.7109375" style="4" customWidth="1"/>
    <col min="2822" max="2822" width="1.42578125" style="4" customWidth="1"/>
    <col min="2823" max="2823" width="27.42578125" style="4" customWidth="1"/>
    <col min="2824" max="2824" width="29" style="4" customWidth="1"/>
    <col min="2825" max="2833" width="14.5703125" style="4" customWidth="1"/>
    <col min="2834" max="2834" width="12" style="4" customWidth="1"/>
    <col min="2835" max="2835" width="17.28515625" style="4" customWidth="1"/>
    <col min="2836" max="2836" width="11.42578125" style="4" customWidth="1"/>
    <col min="2837" max="3072" width="9.28515625" style="4"/>
    <col min="3073" max="3073" width="1.7109375" style="4" customWidth="1"/>
    <col min="3074" max="3074" width="19.7109375" style="4" customWidth="1"/>
    <col min="3075" max="3077" width="50.7109375" style="4" customWidth="1"/>
    <col min="3078" max="3078" width="1.42578125" style="4" customWidth="1"/>
    <col min="3079" max="3079" width="27.42578125" style="4" customWidth="1"/>
    <col min="3080" max="3080" width="29" style="4" customWidth="1"/>
    <col min="3081" max="3089" width="14.5703125" style="4" customWidth="1"/>
    <col min="3090" max="3090" width="12" style="4" customWidth="1"/>
    <col min="3091" max="3091" width="17.28515625" style="4" customWidth="1"/>
    <col min="3092" max="3092" width="11.42578125" style="4" customWidth="1"/>
    <col min="3093" max="3328" width="9.28515625" style="4"/>
    <col min="3329" max="3329" width="1.7109375" style="4" customWidth="1"/>
    <col min="3330" max="3330" width="19.7109375" style="4" customWidth="1"/>
    <col min="3331" max="3333" width="50.7109375" style="4" customWidth="1"/>
    <col min="3334" max="3334" width="1.42578125" style="4" customWidth="1"/>
    <col min="3335" max="3335" width="27.42578125" style="4" customWidth="1"/>
    <col min="3336" max="3336" width="29" style="4" customWidth="1"/>
    <col min="3337" max="3345" width="14.5703125" style="4" customWidth="1"/>
    <col min="3346" max="3346" width="12" style="4" customWidth="1"/>
    <col min="3347" max="3347" width="17.28515625" style="4" customWidth="1"/>
    <col min="3348" max="3348" width="11.42578125" style="4" customWidth="1"/>
    <col min="3349" max="3584" width="9.28515625" style="4"/>
    <col min="3585" max="3585" width="1.7109375" style="4" customWidth="1"/>
    <col min="3586" max="3586" width="19.7109375" style="4" customWidth="1"/>
    <col min="3587" max="3589" width="50.7109375" style="4" customWidth="1"/>
    <col min="3590" max="3590" width="1.42578125" style="4" customWidth="1"/>
    <col min="3591" max="3591" width="27.42578125" style="4" customWidth="1"/>
    <col min="3592" max="3592" width="29" style="4" customWidth="1"/>
    <col min="3593" max="3601" width="14.5703125" style="4" customWidth="1"/>
    <col min="3602" max="3602" width="12" style="4" customWidth="1"/>
    <col min="3603" max="3603" width="17.28515625" style="4" customWidth="1"/>
    <col min="3604" max="3604" width="11.42578125" style="4" customWidth="1"/>
    <col min="3605" max="3840" width="9.28515625" style="4"/>
    <col min="3841" max="3841" width="1.7109375" style="4" customWidth="1"/>
    <col min="3842" max="3842" width="19.7109375" style="4" customWidth="1"/>
    <col min="3843" max="3845" width="50.7109375" style="4" customWidth="1"/>
    <col min="3846" max="3846" width="1.42578125" style="4" customWidth="1"/>
    <col min="3847" max="3847" width="27.42578125" style="4" customWidth="1"/>
    <col min="3848" max="3848" width="29" style="4" customWidth="1"/>
    <col min="3849" max="3857" width="14.5703125" style="4" customWidth="1"/>
    <col min="3858" max="3858" width="12" style="4" customWidth="1"/>
    <col min="3859" max="3859" width="17.28515625" style="4" customWidth="1"/>
    <col min="3860" max="3860" width="11.42578125" style="4" customWidth="1"/>
    <col min="3861" max="4096" width="9.28515625" style="4"/>
    <col min="4097" max="4097" width="1.7109375" style="4" customWidth="1"/>
    <col min="4098" max="4098" width="19.7109375" style="4" customWidth="1"/>
    <col min="4099" max="4101" width="50.7109375" style="4" customWidth="1"/>
    <col min="4102" max="4102" width="1.42578125" style="4" customWidth="1"/>
    <col min="4103" max="4103" width="27.42578125" style="4" customWidth="1"/>
    <col min="4104" max="4104" width="29" style="4" customWidth="1"/>
    <col min="4105" max="4113" width="14.5703125" style="4" customWidth="1"/>
    <col min="4114" max="4114" width="12" style="4" customWidth="1"/>
    <col min="4115" max="4115" width="17.28515625" style="4" customWidth="1"/>
    <col min="4116" max="4116" width="11.42578125" style="4" customWidth="1"/>
    <col min="4117" max="4352" width="9.28515625" style="4"/>
    <col min="4353" max="4353" width="1.7109375" style="4" customWidth="1"/>
    <col min="4354" max="4354" width="19.7109375" style="4" customWidth="1"/>
    <col min="4355" max="4357" width="50.7109375" style="4" customWidth="1"/>
    <col min="4358" max="4358" width="1.42578125" style="4" customWidth="1"/>
    <col min="4359" max="4359" width="27.42578125" style="4" customWidth="1"/>
    <col min="4360" max="4360" width="29" style="4" customWidth="1"/>
    <col min="4361" max="4369" width="14.5703125" style="4" customWidth="1"/>
    <col min="4370" max="4370" width="12" style="4" customWidth="1"/>
    <col min="4371" max="4371" width="17.28515625" style="4" customWidth="1"/>
    <col min="4372" max="4372" width="11.42578125" style="4" customWidth="1"/>
    <col min="4373" max="4608" width="9.28515625" style="4"/>
    <col min="4609" max="4609" width="1.7109375" style="4" customWidth="1"/>
    <col min="4610" max="4610" width="19.7109375" style="4" customWidth="1"/>
    <col min="4611" max="4613" width="50.7109375" style="4" customWidth="1"/>
    <col min="4614" max="4614" width="1.42578125" style="4" customWidth="1"/>
    <col min="4615" max="4615" width="27.42578125" style="4" customWidth="1"/>
    <col min="4616" max="4616" width="29" style="4" customWidth="1"/>
    <col min="4617" max="4625" width="14.5703125" style="4" customWidth="1"/>
    <col min="4626" max="4626" width="12" style="4" customWidth="1"/>
    <col min="4627" max="4627" width="17.28515625" style="4" customWidth="1"/>
    <col min="4628" max="4628" width="11.42578125" style="4" customWidth="1"/>
    <col min="4629" max="4864" width="9.28515625" style="4"/>
    <col min="4865" max="4865" width="1.7109375" style="4" customWidth="1"/>
    <col min="4866" max="4866" width="19.7109375" style="4" customWidth="1"/>
    <col min="4867" max="4869" width="50.7109375" style="4" customWidth="1"/>
    <col min="4870" max="4870" width="1.42578125" style="4" customWidth="1"/>
    <col min="4871" max="4871" width="27.42578125" style="4" customWidth="1"/>
    <col min="4872" max="4872" width="29" style="4" customWidth="1"/>
    <col min="4873" max="4881" width="14.5703125" style="4" customWidth="1"/>
    <col min="4882" max="4882" width="12" style="4" customWidth="1"/>
    <col min="4883" max="4883" width="17.28515625" style="4" customWidth="1"/>
    <col min="4884" max="4884" width="11.42578125" style="4" customWidth="1"/>
    <col min="4885" max="5120" width="9.28515625" style="4"/>
    <col min="5121" max="5121" width="1.7109375" style="4" customWidth="1"/>
    <col min="5122" max="5122" width="19.7109375" style="4" customWidth="1"/>
    <col min="5123" max="5125" width="50.7109375" style="4" customWidth="1"/>
    <col min="5126" max="5126" width="1.42578125" style="4" customWidth="1"/>
    <col min="5127" max="5127" width="27.42578125" style="4" customWidth="1"/>
    <col min="5128" max="5128" width="29" style="4" customWidth="1"/>
    <col min="5129" max="5137" width="14.5703125" style="4" customWidth="1"/>
    <col min="5138" max="5138" width="12" style="4" customWidth="1"/>
    <col min="5139" max="5139" width="17.28515625" style="4" customWidth="1"/>
    <col min="5140" max="5140" width="11.42578125" style="4" customWidth="1"/>
    <col min="5141" max="5376" width="9.28515625" style="4"/>
    <col min="5377" max="5377" width="1.7109375" style="4" customWidth="1"/>
    <col min="5378" max="5378" width="19.7109375" style="4" customWidth="1"/>
    <col min="5379" max="5381" width="50.7109375" style="4" customWidth="1"/>
    <col min="5382" max="5382" width="1.42578125" style="4" customWidth="1"/>
    <col min="5383" max="5383" width="27.42578125" style="4" customWidth="1"/>
    <col min="5384" max="5384" width="29" style="4" customWidth="1"/>
    <col min="5385" max="5393" width="14.5703125" style="4" customWidth="1"/>
    <col min="5394" max="5394" width="12" style="4" customWidth="1"/>
    <col min="5395" max="5395" width="17.28515625" style="4" customWidth="1"/>
    <col min="5396" max="5396" width="11.42578125" style="4" customWidth="1"/>
    <col min="5397" max="5632" width="9.28515625" style="4"/>
    <col min="5633" max="5633" width="1.7109375" style="4" customWidth="1"/>
    <col min="5634" max="5634" width="19.7109375" style="4" customWidth="1"/>
    <col min="5635" max="5637" width="50.7109375" style="4" customWidth="1"/>
    <col min="5638" max="5638" width="1.42578125" style="4" customWidth="1"/>
    <col min="5639" max="5639" width="27.42578125" style="4" customWidth="1"/>
    <col min="5640" max="5640" width="29" style="4" customWidth="1"/>
    <col min="5641" max="5649" width="14.5703125" style="4" customWidth="1"/>
    <col min="5650" max="5650" width="12" style="4" customWidth="1"/>
    <col min="5651" max="5651" width="17.28515625" style="4" customWidth="1"/>
    <col min="5652" max="5652" width="11.42578125" style="4" customWidth="1"/>
    <col min="5653" max="5888" width="9.28515625" style="4"/>
    <col min="5889" max="5889" width="1.7109375" style="4" customWidth="1"/>
    <col min="5890" max="5890" width="19.7109375" style="4" customWidth="1"/>
    <col min="5891" max="5893" width="50.7109375" style="4" customWidth="1"/>
    <col min="5894" max="5894" width="1.42578125" style="4" customWidth="1"/>
    <col min="5895" max="5895" width="27.42578125" style="4" customWidth="1"/>
    <col min="5896" max="5896" width="29" style="4" customWidth="1"/>
    <col min="5897" max="5905" width="14.5703125" style="4" customWidth="1"/>
    <col min="5906" max="5906" width="12" style="4" customWidth="1"/>
    <col min="5907" max="5907" width="17.28515625" style="4" customWidth="1"/>
    <col min="5908" max="5908" width="11.42578125" style="4" customWidth="1"/>
    <col min="5909" max="6144" width="9.28515625" style="4"/>
    <col min="6145" max="6145" width="1.7109375" style="4" customWidth="1"/>
    <col min="6146" max="6146" width="19.7109375" style="4" customWidth="1"/>
    <col min="6147" max="6149" width="50.7109375" style="4" customWidth="1"/>
    <col min="6150" max="6150" width="1.42578125" style="4" customWidth="1"/>
    <col min="6151" max="6151" width="27.42578125" style="4" customWidth="1"/>
    <col min="6152" max="6152" width="29" style="4" customWidth="1"/>
    <col min="6153" max="6161" width="14.5703125" style="4" customWidth="1"/>
    <col min="6162" max="6162" width="12" style="4" customWidth="1"/>
    <col min="6163" max="6163" width="17.28515625" style="4" customWidth="1"/>
    <col min="6164" max="6164" width="11.42578125" style="4" customWidth="1"/>
    <col min="6165" max="6400" width="9.28515625" style="4"/>
    <col min="6401" max="6401" width="1.7109375" style="4" customWidth="1"/>
    <col min="6402" max="6402" width="19.7109375" style="4" customWidth="1"/>
    <col min="6403" max="6405" width="50.7109375" style="4" customWidth="1"/>
    <col min="6406" max="6406" width="1.42578125" style="4" customWidth="1"/>
    <col min="6407" max="6407" width="27.42578125" style="4" customWidth="1"/>
    <col min="6408" max="6408" width="29" style="4" customWidth="1"/>
    <col min="6409" max="6417" width="14.5703125" style="4" customWidth="1"/>
    <col min="6418" max="6418" width="12" style="4" customWidth="1"/>
    <col min="6419" max="6419" width="17.28515625" style="4" customWidth="1"/>
    <col min="6420" max="6420" width="11.42578125" style="4" customWidth="1"/>
    <col min="6421" max="6656" width="9.28515625" style="4"/>
    <col min="6657" max="6657" width="1.7109375" style="4" customWidth="1"/>
    <col min="6658" max="6658" width="19.7109375" style="4" customWidth="1"/>
    <col min="6659" max="6661" width="50.7109375" style="4" customWidth="1"/>
    <col min="6662" max="6662" width="1.42578125" style="4" customWidth="1"/>
    <col min="6663" max="6663" width="27.42578125" style="4" customWidth="1"/>
    <col min="6664" max="6664" width="29" style="4" customWidth="1"/>
    <col min="6665" max="6673" width="14.5703125" style="4" customWidth="1"/>
    <col min="6674" max="6674" width="12" style="4" customWidth="1"/>
    <col min="6675" max="6675" width="17.28515625" style="4" customWidth="1"/>
    <col min="6676" max="6676" width="11.42578125" style="4" customWidth="1"/>
    <col min="6677" max="6912" width="9.28515625" style="4"/>
    <col min="6913" max="6913" width="1.7109375" style="4" customWidth="1"/>
    <col min="6914" max="6914" width="19.7109375" style="4" customWidth="1"/>
    <col min="6915" max="6917" width="50.7109375" style="4" customWidth="1"/>
    <col min="6918" max="6918" width="1.42578125" style="4" customWidth="1"/>
    <col min="6919" max="6919" width="27.42578125" style="4" customWidth="1"/>
    <col min="6920" max="6920" width="29" style="4" customWidth="1"/>
    <col min="6921" max="6929" width="14.5703125" style="4" customWidth="1"/>
    <col min="6930" max="6930" width="12" style="4" customWidth="1"/>
    <col min="6931" max="6931" width="17.28515625" style="4" customWidth="1"/>
    <col min="6932" max="6932" width="11.42578125" style="4" customWidth="1"/>
    <col min="6933" max="7168" width="9.28515625" style="4"/>
    <col min="7169" max="7169" width="1.7109375" style="4" customWidth="1"/>
    <col min="7170" max="7170" width="19.7109375" style="4" customWidth="1"/>
    <col min="7171" max="7173" width="50.7109375" style="4" customWidth="1"/>
    <col min="7174" max="7174" width="1.42578125" style="4" customWidth="1"/>
    <col min="7175" max="7175" width="27.42578125" style="4" customWidth="1"/>
    <col min="7176" max="7176" width="29" style="4" customWidth="1"/>
    <col min="7177" max="7185" width="14.5703125" style="4" customWidth="1"/>
    <col min="7186" max="7186" width="12" style="4" customWidth="1"/>
    <col min="7187" max="7187" width="17.28515625" style="4" customWidth="1"/>
    <col min="7188" max="7188" width="11.42578125" style="4" customWidth="1"/>
    <col min="7189" max="7424" width="9.28515625" style="4"/>
    <col min="7425" max="7425" width="1.7109375" style="4" customWidth="1"/>
    <col min="7426" max="7426" width="19.7109375" style="4" customWidth="1"/>
    <col min="7427" max="7429" width="50.7109375" style="4" customWidth="1"/>
    <col min="7430" max="7430" width="1.42578125" style="4" customWidth="1"/>
    <col min="7431" max="7431" width="27.42578125" style="4" customWidth="1"/>
    <col min="7432" max="7432" width="29" style="4" customWidth="1"/>
    <col min="7433" max="7441" width="14.5703125" style="4" customWidth="1"/>
    <col min="7442" max="7442" width="12" style="4" customWidth="1"/>
    <col min="7443" max="7443" width="17.28515625" style="4" customWidth="1"/>
    <col min="7444" max="7444" width="11.42578125" style="4" customWidth="1"/>
    <col min="7445" max="7680" width="9.28515625" style="4"/>
    <col min="7681" max="7681" width="1.7109375" style="4" customWidth="1"/>
    <col min="7682" max="7682" width="19.7109375" style="4" customWidth="1"/>
    <col min="7683" max="7685" width="50.7109375" style="4" customWidth="1"/>
    <col min="7686" max="7686" width="1.42578125" style="4" customWidth="1"/>
    <col min="7687" max="7687" width="27.42578125" style="4" customWidth="1"/>
    <col min="7688" max="7688" width="29" style="4" customWidth="1"/>
    <col min="7689" max="7697" width="14.5703125" style="4" customWidth="1"/>
    <col min="7698" max="7698" width="12" style="4" customWidth="1"/>
    <col min="7699" max="7699" width="17.28515625" style="4" customWidth="1"/>
    <col min="7700" max="7700" width="11.42578125" style="4" customWidth="1"/>
    <col min="7701" max="7936" width="9.28515625" style="4"/>
    <col min="7937" max="7937" width="1.7109375" style="4" customWidth="1"/>
    <col min="7938" max="7938" width="19.7109375" style="4" customWidth="1"/>
    <col min="7939" max="7941" width="50.7109375" style="4" customWidth="1"/>
    <col min="7942" max="7942" width="1.42578125" style="4" customWidth="1"/>
    <col min="7943" max="7943" width="27.42578125" style="4" customWidth="1"/>
    <col min="7944" max="7944" width="29" style="4" customWidth="1"/>
    <col min="7945" max="7953" width="14.5703125" style="4" customWidth="1"/>
    <col min="7954" max="7954" width="12" style="4" customWidth="1"/>
    <col min="7955" max="7955" width="17.28515625" style="4" customWidth="1"/>
    <col min="7956" max="7956" width="11.42578125" style="4" customWidth="1"/>
    <col min="7957" max="8192" width="9.28515625" style="4"/>
    <col min="8193" max="8193" width="1.7109375" style="4" customWidth="1"/>
    <col min="8194" max="8194" width="19.7109375" style="4" customWidth="1"/>
    <col min="8195" max="8197" width="50.7109375" style="4" customWidth="1"/>
    <col min="8198" max="8198" width="1.42578125" style="4" customWidth="1"/>
    <col min="8199" max="8199" width="27.42578125" style="4" customWidth="1"/>
    <col min="8200" max="8200" width="29" style="4" customWidth="1"/>
    <col min="8201" max="8209" width="14.5703125" style="4" customWidth="1"/>
    <col min="8210" max="8210" width="12" style="4" customWidth="1"/>
    <col min="8211" max="8211" width="17.28515625" style="4" customWidth="1"/>
    <col min="8212" max="8212" width="11.42578125" style="4" customWidth="1"/>
    <col min="8213" max="8448" width="9.28515625" style="4"/>
    <col min="8449" max="8449" width="1.7109375" style="4" customWidth="1"/>
    <col min="8450" max="8450" width="19.7109375" style="4" customWidth="1"/>
    <col min="8451" max="8453" width="50.7109375" style="4" customWidth="1"/>
    <col min="8454" max="8454" width="1.42578125" style="4" customWidth="1"/>
    <col min="8455" max="8455" width="27.42578125" style="4" customWidth="1"/>
    <col min="8456" max="8456" width="29" style="4" customWidth="1"/>
    <col min="8457" max="8465" width="14.5703125" style="4" customWidth="1"/>
    <col min="8466" max="8466" width="12" style="4" customWidth="1"/>
    <col min="8467" max="8467" width="17.28515625" style="4" customWidth="1"/>
    <col min="8468" max="8468" width="11.42578125" style="4" customWidth="1"/>
    <col min="8469" max="8704" width="9.28515625" style="4"/>
    <col min="8705" max="8705" width="1.7109375" style="4" customWidth="1"/>
    <col min="8706" max="8706" width="19.7109375" style="4" customWidth="1"/>
    <col min="8707" max="8709" width="50.7109375" style="4" customWidth="1"/>
    <col min="8710" max="8710" width="1.42578125" style="4" customWidth="1"/>
    <col min="8711" max="8711" width="27.42578125" style="4" customWidth="1"/>
    <col min="8712" max="8712" width="29" style="4" customWidth="1"/>
    <col min="8713" max="8721" width="14.5703125" style="4" customWidth="1"/>
    <col min="8722" max="8722" width="12" style="4" customWidth="1"/>
    <col min="8723" max="8723" width="17.28515625" style="4" customWidth="1"/>
    <col min="8724" max="8724" width="11.42578125" style="4" customWidth="1"/>
    <col min="8725" max="8960" width="9.28515625" style="4"/>
    <col min="8961" max="8961" width="1.7109375" style="4" customWidth="1"/>
    <col min="8962" max="8962" width="19.7109375" style="4" customWidth="1"/>
    <col min="8963" max="8965" width="50.7109375" style="4" customWidth="1"/>
    <col min="8966" max="8966" width="1.42578125" style="4" customWidth="1"/>
    <col min="8967" max="8967" width="27.42578125" style="4" customWidth="1"/>
    <col min="8968" max="8968" width="29" style="4" customWidth="1"/>
    <col min="8969" max="8977" width="14.5703125" style="4" customWidth="1"/>
    <col min="8978" max="8978" width="12" style="4" customWidth="1"/>
    <col min="8979" max="8979" width="17.28515625" style="4" customWidth="1"/>
    <col min="8980" max="8980" width="11.42578125" style="4" customWidth="1"/>
    <col min="8981" max="9216" width="9.28515625" style="4"/>
    <col min="9217" max="9217" width="1.7109375" style="4" customWidth="1"/>
    <col min="9218" max="9218" width="19.7109375" style="4" customWidth="1"/>
    <col min="9219" max="9221" width="50.7109375" style="4" customWidth="1"/>
    <col min="9222" max="9222" width="1.42578125" style="4" customWidth="1"/>
    <col min="9223" max="9223" width="27.42578125" style="4" customWidth="1"/>
    <col min="9224" max="9224" width="29" style="4" customWidth="1"/>
    <col min="9225" max="9233" width="14.5703125" style="4" customWidth="1"/>
    <col min="9234" max="9234" width="12" style="4" customWidth="1"/>
    <col min="9235" max="9235" width="17.28515625" style="4" customWidth="1"/>
    <col min="9236" max="9236" width="11.42578125" style="4" customWidth="1"/>
    <col min="9237" max="9472" width="9.28515625" style="4"/>
    <col min="9473" max="9473" width="1.7109375" style="4" customWidth="1"/>
    <col min="9474" max="9474" width="19.7109375" style="4" customWidth="1"/>
    <col min="9475" max="9477" width="50.7109375" style="4" customWidth="1"/>
    <col min="9478" max="9478" width="1.42578125" style="4" customWidth="1"/>
    <col min="9479" max="9479" width="27.42578125" style="4" customWidth="1"/>
    <col min="9480" max="9480" width="29" style="4" customWidth="1"/>
    <col min="9481" max="9489" width="14.5703125" style="4" customWidth="1"/>
    <col min="9490" max="9490" width="12" style="4" customWidth="1"/>
    <col min="9491" max="9491" width="17.28515625" style="4" customWidth="1"/>
    <col min="9492" max="9492" width="11.42578125" style="4" customWidth="1"/>
    <col min="9493" max="9728" width="9.28515625" style="4"/>
    <col min="9729" max="9729" width="1.7109375" style="4" customWidth="1"/>
    <col min="9730" max="9730" width="19.7109375" style="4" customWidth="1"/>
    <col min="9731" max="9733" width="50.7109375" style="4" customWidth="1"/>
    <col min="9734" max="9734" width="1.42578125" style="4" customWidth="1"/>
    <col min="9735" max="9735" width="27.42578125" style="4" customWidth="1"/>
    <col min="9736" max="9736" width="29" style="4" customWidth="1"/>
    <col min="9737" max="9745" width="14.5703125" style="4" customWidth="1"/>
    <col min="9746" max="9746" width="12" style="4" customWidth="1"/>
    <col min="9747" max="9747" width="17.28515625" style="4" customWidth="1"/>
    <col min="9748" max="9748" width="11.42578125" style="4" customWidth="1"/>
    <col min="9749" max="9984" width="9.28515625" style="4"/>
    <col min="9985" max="9985" width="1.7109375" style="4" customWidth="1"/>
    <col min="9986" max="9986" width="19.7109375" style="4" customWidth="1"/>
    <col min="9987" max="9989" width="50.7109375" style="4" customWidth="1"/>
    <col min="9990" max="9990" width="1.42578125" style="4" customWidth="1"/>
    <col min="9991" max="9991" width="27.42578125" style="4" customWidth="1"/>
    <col min="9992" max="9992" width="29" style="4" customWidth="1"/>
    <col min="9993" max="10001" width="14.5703125" style="4" customWidth="1"/>
    <col min="10002" max="10002" width="12" style="4" customWidth="1"/>
    <col min="10003" max="10003" width="17.28515625" style="4" customWidth="1"/>
    <col min="10004" max="10004" width="11.42578125" style="4" customWidth="1"/>
    <col min="10005" max="10240" width="9.28515625" style="4"/>
    <col min="10241" max="10241" width="1.7109375" style="4" customWidth="1"/>
    <col min="10242" max="10242" width="19.7109375" style="4" customWidth="1"/>
    <col min="10243" max="10245" width="50.7109375" style="4" customWidth="1"/>
    <col min="10246" max="10246" width="1.42578125" style="4" customWidth="1"/>
    <col min="10247" max="10247" width="27.42578125" style="4" customWidth="1"/>
    <col min="10248" max="10248" width="29" style="4" customWidth="1"/>
    <col min="10249" max="10257" width="14.5703125" style="4" customWidth="1"/>
    <col min="10258" max="10258" width="12" style="4" customWidth="1"/>
    <col min="10259" max="10259" width="17.28515625" style="4" customWidth="1"/>
    <col min="10260" max="10260" width="11.42578125" style="4" customWidth="1"/>
    <col min="10261" max="10496" width="9.28515625" style="4"/>
    <col min="10497" max="10497" width="1.7109375" style="4" customWidth="1"/>
    <col min="10498" max="10498" width="19.7109375" style="4" customWidth="1"/>
    <col min="10499" max="10501" width="50.7109375" style="4" customWidth="1"/>
    <col min="10502" max="10502" width="1.42578125" style="4" customWidth="1"/>
    <col min="10503" max="10503" width="27.42578125" style="4" customWidth="1"/>
    <col min="10504" max="10504" width="29" style="4" customWidth="1"/>
    <col min="10505" max="10513" width="14.5703125" style="4" customWidth="1"/>
    <col min="10514" max="10514" width="12" style="4" customWidth="1"/>
    <col min="10515" max="10515" width="17.28515625" style="4" customWidth="1"/>
    <col min="10516" max="10516" width="11.42578125" style="4" customWidth="1"/>
    <col min="10517" max="10752" width="9.28515625" style="4"/>
    <col min="10753" max="10753" width="1.7109375" style="4" customWidth="1"/>
    <col min="10754" max="10754" width="19.7109375" style="4" customWidth="1"/>
    <col min="10755" max="10757" width="50.7109375" style="4" customWidth="1"/>
    <col min="10758" max="10758" width="1.42578125" style="4" customWidth="1"/>
    <col min="10759" max="10759" width="27.42578125" style="4" customWidth="1"/>
    <col min="10760" max="10760" width="29" style="4" customWidth="1"/>
    <col min="10761" max="10769" width="14.5703125" style="4" customWidth="1"/>
    <col min="10770" max="10770" width="12" style="4" customWidth="1"/>
    <col min="10771" max="10771" width="17.28515625" style="4" customWidth="1"/>
    <col min="10772" max="10772" width="11.42578125" style="4" customWidth="1"/>
    <col min="10773" max="11008" width="9.28515625" style="4"/>
    <col min="11009" max="11009" width="1.7109375" style="4" customWidth="1"/>
    <col min="11010" max="11010" width="19.7109375" style="4" customWidth="1"/>
    <col min="11011" max="11013" width="50.7109375" style="4" customWidth="1"/>
    <col min="11014" max="11014" width="1.42578125" style="4" customWidth="1"/>
    <col min="11015" max="11015" width="27.42578125" style="4" customWidth="1"/>
    <col min="11016" max="11016" width="29" style="4" customWidth="1"/>
    <col min="11017" max="11025" width="14.5703125" style="4" customWidth="1"/>
    <col min="11026" max="11026" width="12" style="4" customWidth="1"/>
    <col min="11027" max="11027" width="17.28515625" style="4" customWidth="1"/>
    <col min="11028" max="11028" width="11.42578125" style="4" customWidth="1"/>
    <col min="11029" max="11264" width="9.28515625" style="4"/>
    <col min="11265" max="11265" width="1.7109375" style="4" customWidth="1"/>
    <col min="11266" max="11266" width="19.7109375" style="4" customWidth="1"/>
    <col min="11267" max="11269" width="50.7109375" style="4" customWidth="1"/>
    <col min="11270" max="11270" width="1.42578125" style="4" customWidth="1"/>
    <col min="11271" max="11271" width="27.42578125" style="4" customWidth="1"/>
    <col min="11272" max="11272" width="29" style="4" customWidth="1"/>
    <col min="11273" max="11281" width="14.5703125" style="4" customWidth="1"/>
    <col min="11282" max="11282" width="12" style="4" customWidth="1"/>
    <col min="11283" max="11283" width="17.28515625" style="4" customWidth="1"/>
    <col min="11284" max="11284" width="11.42578125" style="4" customWidth="1"/>
    <col min="11285" max="11520" width="9.28515625" style="4"/>
    <col min="11521" max="11521" width="1.7109375" style="4" customWidth="1"/>
    <col min="11522" max="11522" width="19.7109375" style="4" customWidth="1"/>
    <col min="11523" max="11525" width="50.7109375" style="4" customWidth="1"/>
    <col min="11526" max="11526" width="1.42578125" style="4" customWidth="1"/>
    <col min="11527" max="11527" width="27.42578125" style="4" customWidth="1"/>
    <col min="11528" max="11528" width="29" style="4" customWidth="1"/>
    <col min="11529" max="11537" width="14.5703125" style="4" customWidth="1"/>
    <col min="11538" max="11538" width="12" style="4" customWidth="1"/>
    <col min="11539" max="11539" width="17.28515625" style="4" customWidth="1"/>
    <col min="11540" max="11540" width="11.42578125" style="4" customWidth="1"/>
    <col min="11541" max="11776" width="9.28515625" style="4"/>
    <col min="11777" max="11777" width="1.7109375" style="4" customWidth="1"/>
    <col min="11778" max="11778" width="19.7109375" style="4" customWidth="1"/>
    <col min="11779" max="11781" width="50.7109375" style="4" customWidth="1"/>
    <col min="11782" max="11782" width="1.42578125" style="4" customWidth="1"/>
    <col min="11783" max="11783" width="27.42578125" style="4" customWidth="1"/>
    <col min="11784" max="11784" width="29" style="4" customWidth="1"/>
    <col min="11785" max="11793" width="14.5703125" style="4" customWidth="1"/>
    <col min="11794" max="11794" width="12" style="4" customWidth="1"/>
    <col min="11795" max="11795" width="17.28515625" style="4" customWidth="1"/>
    <col min="11796" max="11796" width="11.42578125" style="4" customWidth="1"/>
    <col min="11797" max="12032" width="9.28515625" style="4"/>
    <col min="12033" max="12033" width="1.7109375" style="4" customWidth="1"/>
    <col min="12034" max="12034" width="19.7109375" style="4" customWidth="1"/>
    <col min="12035" max="12037" width="50.7109375" style="4" customWidth="1"/>
    <col min="12038" max="12038" width="1.42578125" style="4" customWidth="1"/>
    <col min="12039" max="12039" width="27.42578125" style="4" customWidth="1"/>
    <col min="12040" max="12040" width="29" style="4" customWidth="1"/>
    <col min="12041" max="12049" width="14.5703125" style="4" customWidth="1"/>
    <col min="12050" max="12050" width="12" style="4" customWidth="1"/>
    <col min="12051" max="12051" width="17.28515625" style="4" customWidth="1"/>
    <col min="12052" max="12052" width="11.42578125" style="4" customWidth="1"/>
    <col min="12053" max="12288" width="9.28515625" style="4"/>
    <col min="12289" max="12289" width="1.7109375" style="4" customWidth="1"/>
    <col min="12290" max="12290" width="19.7109375" style="4" customWidth="1"/>
    <col min="12291" max="12293" width="50.7109375" style="4" customWidth="1"/>
    <col min="12294" max="12294" width="1.42578125" style="4" customWidth="1"/>
    <col min="12295" max="12295" width="27.42578125" style="4" customWidth="1"/>
    <col min="12296" max="12296" width="29" style="4" customWidth="1"/>
    <col min="12297" max="12305" width="14.5703125" style="4" customWidth="1"/>
    <col min="12306" max="12306" width="12" style="4" customWidth="1"/>
    <col min="12307" max="12307" width="17.28515625" style="4" customWidth="1"/>
    <col min="12308" max="12308" width="11.42578125" style="4" customWidth="1"/>
    <col min="12309" max="12544" width="9.28515625" style="4"/>
    <col min="12545" max="12545" width="1.7109375" style="4" customWidth="1"/>
    <col min="12546" max="12546" width="19.7109375" style="4" customWidth="1"/>
    <col min="12547" max="12549" width="50.7109375" style="4" customWidth="1"/>
    <col min="12550" max="12550" width="1.42578125" style="4" customWidth="1"/>
    <col min="12551" max="12551" width="27.42578125" style="4" customWidth="1"/>
    <col min="12552" max="12552" width="29" style="4" customWidth="1"/>
    <col min="12553" max="12561" width="14.5703125" style="4" customWidth="1"/>
    <col min="12562" max="12562" width="12" style="4" customWidth="1"/>
    <col min="12563" max="12563" width="17.28515625" style="4" customWidth="1"/>
    <col min="12564" max="12564" width="11.42578125" style="4" customWidth="1"/>
    <col min="12565" max="12800" width="9.28515625" style="4"/>
    <col min="12801" max="12801" width="1.7109375" style="4" customWidth="1"/>
    <col min="12802" max="12802" width="19.7109375" style="4" customWidth="1"/>
    <col min="12803" max="12805" width="50.7109375" style="4" customWidth="1"/>
    <col min="12806" max="12806" width="1.42578125" style="4" customWidth="1"/>
    <col min="12807" max="12807" width="27.42578125" style="4" customWidth="1"/>
    <col min="12808" max="12808" width="29" style="4" customWidth="1"/>
    <col min="12809" max="12817" width="14.5703125" style="4" customWidth="1"/>
    <col min="12818" max="12818" width="12" style="4" customWidth="1"/>
    <col min="12819" max="12819" width="17.28515625" style="4" customWidth="1"/>
    <col min="12820" max="12820" width="11.42578125" style="4" customWidth="1"/>
    <col min="12821" max="13056" width="9.28515625" style="4"/>
    <col min="13057" max="13057" width="1.7109375" style="4" customWidth="1"/>
    <col min="13058" max="13058" width="19.7109375" style="4" customWidth="1"/>
    <col min="13059" max="13061" width="50.7109375" style="4" customWidth="1"/>
    <col min="13062" max="13062" width="1.42578125" style="4" customWidth="1"/>
    <col min="13063" max="13063" width="27.42578125" style="4" customWidth="1"/>
    <col min="13064" max="13064" width="29" style="4" customWidth="1"/>
    <col min="13065" max="13073" width="14.5703125" style="4" customWidth="1"/>
    <col min="13074" max="13074" width="12" style="4" customWidth="1"/>
    <col min="13075" max="13075" width="17.28515625" style="4" customWidth="1"/>
    <col min="13076" max="13076" width="11.42578125" style="4" customWidth="1"/>
    <col min="13077" max="13312" width="9.28515625" style="4"/>
    <col min="13313" max="13313" width="1.7109375" style="4" customWidth="1"/>
    <col min="13314" max="13314" width="19.7109375" style="4" customWidth="1"/>
    <col min="13315" max="13317" width="50.7109375" style="4" customWidth="1"/>
    <col min="13318" max="13318" width="1.42578125" style="4" customWidth="1"/>
    <col min="13319" max="13319" width="27.42578125" style="4" customWidth="1"/>
    <col min="13320" max="13320" width="29" style="4" customWidth="1"/>
    <col min="13321" max="13329" width="14.5703125" style="4" customWidth="1"/>
    <col min="13330" max="13330" width="12" style="4" customWidth="1"/>
    <col min="13331" max="13331" width="17.28515625" style="4" customWidth="1"/>
    <col min="13332" max="13332" width="11.42578125" style="4" customWidth="1"/>
    <col min="13333" max="13568" width="9.28515625" style="4"/>
    <col min="13569" max="13569" width="1.7109375" style="4" customWidth="1"/>
    <col min="13570" max="13570" width="19.7109375" style="4" customWidth="1"/>
    <col min="13571" max="13573" width="50.7109375" style="4" customWidth="1"/>
    <col min="13574" max="13574" width="1.42578125" style="4" customWidth="1"/>
    <col min="13575" max="13575" width="27.42578125" style="4" customWidth="1"/>
    <col min="13576" max="13576" width="29" style="4" customWidth="1"/>
    <col min="13577" max="13585" width="14.5703125" style="4" customWidth="1"/>
    <col min="13586" max="13586" width="12" style="4" customWidth="1"/>
    <col min="13587" max="13587" width="17.28515625" style="4" customWidth="1"/>
    <col min="13588" max="13588" width="11.42578125" style="4" customWidth="1"/>
    <col min="13589" max="13824" width="9.28515625" style="4"/>
    <col min="13825" max="13825" width="1.7109375" style="4" customWidth="1"/>
    <col min="13826" max="13826" width="19.7109375" style="4" customWidth="1"/>
    <col min="13827" max="13829" width="50.7109375" style="4" customWidth="1"/>
    <col min="13830" max="13830" width="1.42578125" style="4" customWidth="1"/>
    <col min="13831" max="13831" width="27.42578125" style="4" customWidth="1"/>
    <col min="13832" max="13832" width="29" style="4" customWidth="1"/>
    <col min="13833" max="13841" width="14.5703125" style="4" customWidth="1"/>
    <col min="13842" max="13842" width="12" style="4" customWidth="1"/>
    <col min="13843" max="13843" width="17.28515625" style="4" customWidth="1"/>
    <col min="13844" max="13844" width="11.42578125" style="4" customWidth="1"/>
    <col min="13845" max="14080" width="9.28515625" style="4"/>
    <col min="14081" max="14081" width="1.7109375" style="4" customWidth="1"/>
    <col min="14082" max="14082" width="19.7109375" style="4" customWidth="1"/>
    <col min="14083" max="14085" width="50.7109375" style="4" customWidth="1"/>
    <col min="14086" max="14086" width="1.42578125" style="4" customWidth="1"/>
    <col min="14087" max="14087" width="27.42578125" style="4" customWidth="1"/>
    <col min="14088" max="14088" width="29" style="4" customWidth="1"/>
    <col min="14089" max="14097" width="14.5703125" style="4" customWidth="1"/>
    <col min="14098" max="14098" width="12" style="4" customWidth="1"/>
    <col min="14099" max="14099" width="17.28515625" style="4" customWidth="1"/>
    <col min="14100" max="14100" width="11.42578125" style="4" customWidth="1"/>
    <col min="14101" max="14336" width="9.28515625" style="4"/>
    <col min="14337" max="14337" width="1.7109375" style="4" customWidth="1"/>
    <col min="14338" max="14338" width="19.7109375" style="4" customWidth="1"/>
    <col min="14339" max="14341" width="50.7109375" style="4" customWidth="1"/>
    <col min="14342" max="14342" width="1.42578125" style="4" customWidth="1"/>
    <col min="14343" max="14343" width="27.42578125" style="4" customWidth="1"/>
    <col min="14344" max="14344" width="29" style="4" customWidth="1"/>
    <col min="14345" max="14353" width="14.5703125" style="4" customWidth="1"/>
    <col min="14354" max="14354" width="12" style="4" customWidth="1"/>
    <col min="14355" max="14355" width="17.28515625" style="4" customWidth="1"/>
    <col min="14356" max="14356" width="11.42578125" style="4" customWidth="1"/>
    <col min="14357" max="14592" width="9.28515625" style="4"/>
    <col min="14593" max="14593" width="1.7109375" style="4" customWidth="1"/>
    <col min="14594" max="14594" width="19.7109375" style="4" customWidth="1"/>
    <col min="14595" max="14597" width="50.7109375" style="4" customWidth="1"/>
    <col min="14598" max="14598" width="1.42578125" style="4" customWidth="1"/>
    <col min="14599" max="14599" width="27.42578125" style="4" customWidth="1"/>
    <col min="14600" max="14600" width="29" style="4" customWidth="1"/>
    <col min="14601" max="14609" width="14.5703125" style="4" customWidth="1"/>
    <col min="14610" max="14610" width="12" style="4" customWidth="1"/>
    <col min="14611" max="14611" width="17.28515625" style="4" customWidth="1"/>
    <col min="14612" max="14612" width="11.42578125" style="4" customWidth="1"/>
    <col min="14613" max="14848" width="9.28515625" style="4"/>
    <col min="14849" max="14849" width="1.7109375" style="4" customWidth="1"/>
    <col min="14850" max="14850" width="19.7109375" style="4" customWidth="1"/>
    <col min="14851" max="14853" width="50.7109375" style="4" customWidth="1"/>
    <col min="14854" max="14854" width="1.42578125" style="4" customWidth="1"/>
    <col min="14855" max="14855" width="27.42578125" style="4" customWidth="1"/>
    <col min="14856" max="14856" width="29" style="4" customWidth="1"/>
    <col min="14857" max="14865" width="14.5703125" style="4" customWidth="1"/>
    <col min="14866" max="14866" width="12" style="4" customWidth="1"/>
    <col min="14867" max="14867" width="17.28515625" style="4" customWidth="1"/>
    <col min="14868" max="14868" width="11.42578125" style="4" customWidth="1"/>
    <col min="14869" max="15104" width="9.28515625" style="4"/>
    <col min="15105" max="15105" width="1.7109375" style="4" customWidth="1"/>
    <col min="15106" max="15106" width="19.7109375" style="4" customWidth="1"/>
    <col min="15107" max="15109" width="50.7109375" style="4" customWidth="1"/>
    <col min="15110" max="15110" width="1.42578125" style="4" customWidth="1"/>
    <col min="15111" max="15111" width="27.42578125" style="4" customWidth="1"/>
    <col min="15112" max="15112" width="29" style="4" customWidth="1"/>
    <col min="15113" max="15121" width="14.5703125" style="4" customWidth="1"/>
    <col min="15122" max="15122" width="12" style="4" customWidth="1"/>
    <col min="15123" max="15123" width="17.28515625" style="4" customWidth="1"/>
    <col min="15124" max="15124" width="11.42578125" style="4" customWidth="1"/>
    <col min="15125" max="15360" width="9.28515625" style="4"/>
    <col min="15361" max="15361" width="1.7109375" style="4" customWidth="1"/>
    <col min="15362" max="15362" width="19.7109375" style="4" customWidth="1"/>
    <col min="15363" max="15365" width="50.7109375" style="4" customWidth="1"/>
    <col min="15366" max="15366" width="1.42578125" style="4" customWidth="1"/>
    <col min="15367" max="15367" width="27.42578125" style="4" customWidth="1"/>
    <col min="15368" max="15368" width="29" style="4" customWidth="1"/>
    <col min="15369" max="15377" width="14.5703125" style="4" customWidth="1"/>
    <col min="15378" max="15378" width="12" style="4" customWidth="1"/>
    <col min="15379" max="15379" width="17.28515625" style="4" customWidth="1"/>
    <col min="15380" max="15380" width="11.42578125" style="4" customWidth="1"/>
    <col min="15381" max="15616" width="9.28515625" style="4"/>
    <col min="15617" max="15617" width="1.7109375" style="4" customWidth="1"/>
    <col min="15618" max="15618" width="19.7109375" style="4" customWidth="1"/>
    <col min="15619" max="15621" width="50.7109375" style="4" customWidth="1"/>
    <col min="15622" max="15622" width="1.42578125" style="4" customWidth="1"/>
    <col min="15623" max="15623" width="27.42578125" style="4" customWidth="1"/>
    <col min="15624" max="15624" width="29" style="4" customWidth="1"/>
    <col min="15625" max="15633" width="14.5703125" style="4" customWidth="1"/>
    <col min="15634" max="15634" width="12" style="4" customWidth="1"/>
    <col min="15635" max="15635" width="17.28515625" style="4" customWidth="1"/>
    <col min="15636" max="15636" width="11.42578125" style="4" customWidth="1"/>
    <col min="15637" max="15872" width="9.28515625" style="4"/>
    <col min="15873" max="15873" width="1.7109375" style="4" customWidth="1"/>
    <col min="15874" max="15874" width="19.7109375" style="4" customWidth="1"/>
    <col min="15875" max="15877" width="50.7109375" style="4" customWidth="1"/>
    <col min="15878" max="15878" width="1.42578125" style="4" customWidth="1"/>
    <col min="15879" max="15879" width="27.42578125" style="4" customWidth="1"/>
    <col min="15880" max="15880" width="29" style="4" customWidth="1"/>
    <col min="15881" max="15889" width="14.5703125" style="4" customWidth="1"/>
    <col min="15890" max="15890" width="12" style="4" customWidth="1"/>
    <col min="15891" max="15891" width="17.28515625" style="4" customWidth="1"/>
    <col min="15892" max="15892" width="11.42578125" style="4" customWidth="1"/>
    <col min="15893" max="16128" width="9.28515625" style="4"/>
    <col min="16129" max="16129" width="1.7109375" style="4" customWidth="1"/>
    <col min="16130" max="16130" width="19.7109375" style="4" customWidth="1"/>
    <col min="16131" max="16133" width="50.7109375" style="4" customWidth="1"/>
    <col min="16134" max="16134" width="1.42578125" style="4" customWidth="1"/>
    <col min="16135" max="16135" width="27.42578125" style="4" customWidth="1"/>
    <col min="16136" max="16136" width="29" style="4" customWidth="1"/>
    <col min="16137" max="16145" width="14.5703125" style="4" customWidth="1"/>
    <col min="16146" max="16146" width="12" style="4" customWidth="1"/>
    <col min="16147" max="16147" width="17.28515625" style="4" customWidth="1"/>
    <col min="16148" max="16148" width="11.42578125" style="4" customWidth="1"/>
    <col min="16149" max="16384" width="9.28515625" style="4"/>
  </cols>
  <sheetData>
    <row r="1" spans="1:21" ht="8.25" customHeight="1" x14ac:dyDescent="0.25">
      <c r="A1" s="1"/>
      <c r="B1" s="19"/>
      <c r="C1" s="22"/>
      <c r="D1" s="22"/>
      <c r="E1" s="22"/>
      <c r="F1" s="22"/>
      <c r="G1" s="22"/>
      <c r="H1" s="1"/>
      <c r="I1" s="1"/>
      <c r="J1" s="1"/>
      <c r="K1" s="1"/>
      <c r="L1" s="3"/>
      <c r="M1" s="3"/>
      <c r="N1" s="3"/>
      <c r="O1" s="3"/>
      <c r="P1" s="3"/>
      <c r="Q1" s="3"/>
      <c r="R1" s="3"/>
      <c r="S1" s="3"/>
      <c r="T1" s="3"/>
      <c r="U1" s="3"/>
    </row>
    <row r="2" spans="1:21" ht="60.4" customHeight="1" x14ac:dyDescent="0.25">
      <c r="A2" s="1"/>
      <c r="B2" s="26" t="s">
        <v>17</v>
      </c>
      <c r="C2" s="85" t="s">
        <v>70</v>
      </c>
      <c r="D2" s="86"/>
      <c r="E2" s="86"/>
      <c r="F2" s="86"/>
      <c r="G2" s="52"/>
      <c r="H2" s="5"/>
      <c r="I2" s="5"/>
      <c r="J2" s="5"/>
      <c r="K2" s="5"/>
      <c r="L2" s="6"/>
      <c r="M2" s="6"/>
      <c r="N2" s="6"/>
      <c r="O2" s="6"/>
      <c r="P2" s="6"/>
      <c r="Q2" s="6"/>
      <c r="R2" s="6"/>
      <c r="S2" s="6"/>
      <c r="T2" s="6"/>
      <c r="U2" s="3"/>
    </row>
    <row r="3" spans="1:21" ht="15" customHeight="1" x14ac:dyDescent="0.25">
      <c r="A3" s="1"/>
      <c r="B3" s="23"/>
      <c r="C3" s="23"/>
      <c r="D3" s="30"/>
      <c r="E3" s="30"/>
      <c r="F3" s="30"/>
      <c r="G3" s="30"/>
      <c r="H3" s="7"/>
      <c r="I3" s="7"/>
      <c r="J3" s="7"/>
      <c r="K3" s="7"/>
      <c r="L3" s="8"/>
      <c r="M3" s="8"/>
      <c r="N3" s="8"/>
      <c r="O3" s="8"/>
      <c r="P3" s="8"/>
      <c r="Q3" s="8"/>
      <c r="R3" s="3"/>
      <c r="S3" s="3"/>
      <c r="T3" s="3"/>
      <c r="U3" s="3"/>
    </row>
    <row r="4" spans="1:21" ht="15.75" customHeight="1" x14ac:dyDescent="0.25">
      <c r="A4" s="1"/>
      <c r="B4" s="26" t="s">
        <v>0</v>
      </c>
      <c r="C4" s="27" t="str">
        <f>'Aval Soft Skills'!C4</f>
        <v>Carla Leal Santos</v>
      </c>
      <c r="D4" s="97"/>
      <c r="E4" s="98"/>
      <c r="F4" s="98"/>
      <c r="G4" s="98"/>
      <c r="H4" s="9"/>
      <c r="I4" s="9"/>
      <c r="J4" s="9"/>
      <c r="K4" s="9"/>
      <c r="L4" s="10"/>
      <c r="M4" s="10"/>
      <c r="N4" s="10"/>
      <c r="O4" s="10"/>
      <c r="P4" s="10"/>
      <c r="Q4" s="10"/>
      <c r="R4" s="3"/>
      <c r="S4" s="3"/>
      <c r="T4" s="3"/>
      <c r="U4" s="3"/>
    </row>
    <row r="5" spans="1:21" ht="15.75" customHeight="1" x14ac:dyDescent="0.25">
      <c r="A5" s="1"/>
      <c r="B5" s="26" t="s">
        <v>1</v>
      </c>
      <c r="C5" s="28" t="str">
        <f>'Aval Soft Skills'!C5</f>
        <v>Elétrica</v>
      </c>
      <c r="D5" s="97"/>
      <c r="E5" s="98"/>
      <c r="F5" s="98"/>
      <c r="G5" s="98"/>
      <c r="H5" s="1"/>
      <c r="I5" s="1"/>
      <c r="J5" s="1"/>
      <c r="K5" s="1"/>
      <c r="L5" s="3"/>
      <c r="M5" s="3"/>
      <c r="N5" s="3"/>
      <c r="O5" s="3"/>
      <c r="P5" s="3"/>
      <c r="Q5" s="3"/>
      <c r="R5" s="3"/>
      <c r="S5" s="3"/>
      <c r="T5" s="3"/>
      <c r="U5" s="3"/>
    </row>
    <row r="6" spans="1:21" ht="15.75" customHeight="1" x14ac:dyDescent="0.25">
      <c r="A6" s="1"/>
      <c r="B6" s="26" t="s">
        <v>18</v>
      </c>
      <c r="C6" s="28" t="str">
        <f>'Aval Soft Skills'!C6</f>
        <v>Líder Técnico Área Elétrica ou Controle/Automação</v>
      </c>
      <c r="D6" s="97"/>
      <c r="E6" s="98"/>
      <c r="F6" s="98"/>
      <c r="G6" s="98"/>
      <c r="H6" s="1"/>
      <c r="I6" s="9"/>
      <c r="J6" s="9"/>
      <c r="K6" s="1"/>
      <c r="L6" s="3"/>
      <c r="M6" s="3"/>
      <c r="N6" s="3"/>
      <c r="O6" s="3"/>
      <c r="P6" s="10"/>
      <c r="Q6" s="10"/>
      <c r="R6" s="10"/>
      <c r="S6" s="10"/>
      <c r="T6" s="10"/>
      <c r="U6" s="3"/>
    </row>
    <row r="7" spans="1:21" ht="15.75" customHeight="1" x14ac:dyDescent="0.25">
      <c r="A7" s="1"/>
      <c r="B7" s="26" t="s">
        <v>2</v>
      </c>
      <c r="C7" s="28" t="str">
        <f>'Aval Soft Skills'!C7</f>
        <v>Luiz Sérgio</v>
      </c>
      <c r="D7" s="97"/>
      <c r="E7" s="98"/>
      <c r="F7" s="98"/>
      <c r="G7" s="98"/>
      <c r="H7" s="1"/>
      <c r="I7" s="1"/>
      <c r="J7" s="1"/>
      <c r="K7" s="1"/>
      <c r="L7" s="3"/>
      <c r="M7" s="3"/>
      <c r="N7" s="3"/>
      <c r="O7" s="3"/>
      <c r="P7" s="3"/>
      <c r="Q7" s="3"/>
      <c r="R7" s="3"/>
      <c r="S7" s="3"/>
      <c r="T7" s="3"/>
      <c r="U7" s="3"/>
    </row>
    <row r="8" spans="1:21" ht="15.75" customHeight="1" x14ac:dyDescent="0.25">
      <c r="A8" s="1"/>
      <c r="B8" s="26" t="s">
        <v>26</v>
      </c>
      <c r="C8" s="29" t="str">
        <f>'Aval Soft Skills'!C8</f>
        <v>___ / ___ /2024</v>
      </c>
      <c r="D8" s="97"/>
      <c r="E8" s="98"/>
      <c r="F8" s="98"/>
      <c r="G8" s="98"/>
      <c r="H8" s="9"/>
      <c r="I8" s="9"/>
      <c r="J8" s="9"/>
      <c r="K8" s="1"/>
      <c r="L8" s="3"/>
      <c r="M8" s="3"/>
      <c r="N8" s="3"/>
      <c r="O8" s="3"/>
      <c r="P8" s="10"/>
      <c r="Q8" s="3"/>
      <c r="R8" s="3"/>
      <c r="S8" s="3"/>
      <c r="T8" s="3"/>
      <c r="U8" s="3"/>
    </row>
    <row r="9" spans="1:21" ht="6" customHeight="1" x14ac:dyDescent="0.25">
      <c r="A9" s="1"/>
      <c r="B9" s="17"/>
      <c r="C9" s="17"/>
      <c r="D9" s="18"/>
      <c r="E9" s="18"/>
      <c r="F9" s="18"/>
      <c r="G9" s="18"/>
      <c r="H9" s="9"/>
      <c r="I9" s="9"/>
      <c r="J9" s="9"/>
      <c r="K9" s="1"/>
      <c r="L9" s="3"/>
      <c r="M9" s="3"/>
      <c r="N9" s="3"/>
      <c r="O9" s="3"/>
      <c r="P9" s="10"/>
      <c r="Q9" s="3"/>
      <c r="R9" s="3"/>
      <c r="S9" s="3"/>
      <c r="T9" s="3"/>
      <c r="U9" s="3"/>
    </row>
    <row r="10" spans="1:21" ht="31.15" customHeight="1" x14ac:dyDescent="0.25">
      <c r="A10" s="11"/>
      <c r="B10" s="32"/>
      <c r="C10" s="53" t="s">
        <v>71</v>
      </c>
      <c r="D10" s="33" t="s">
        <v>203</v>
      </c>
      <c r="E10" s="33" t="s">
        <v>204</v>
      </c>
      <c r="F10" s="33" t="s">
        <v>205</v>
      </c>
      <c r="G10" s="33" t="s">
        <v>25</v>
      </c>
      <c r="H10" s="12"/>
      <c r="I10" s="12"/>
      <c r="J10" s="12"/>
      <c r="K10" s="12"/>
      <c r="L10" s="13"/>
      <c r="M10" s="13"/>
      <c r="N10" s="13"/>
      <c r="O10" s="13"/>
      <c r="P10" s="13"/>
      <c r="Q10" s="13"/>
      <c r="S10" s="14"/>
      <c r="T10" s="14"/>
      <c r="U10" s="15"/>
    </row>
    <row r="11" spans="1:21" ht="18.399999999999999" customHeight="1" x14ac:dyDescent="0.25">
      <c r="A11" s="11"/>
      <c r="B11" s="34"/>
      <c r="C11" s="35"/>
      <c r="D11" s="42"/>
      <c r="E11" s="43"/>
      <c r="F11" s="42"/>
      <c r="G11" s="36"/>
      <c r="H11" s="12"/>
      <c r="I11" s="12"/>
      <c r="J11" s="12"/>
      <c r="K11" s="12"/>
      <c r="L11" s="13"/>
      <c r="M11" s="13"/>
      <c r="N11" s="13"/>
      <c r="O11" s="13"/>
      <c r="P11" s="13"/>
      <c r="Q11" s="13"/>
      <c r="S11" s="14"/>
      <c r="T11" s="14"/>
      <c r="U11" s="15"/>
    </row>
    <row r="12" spans="1:21" ht="18.399999999999999" customHeight="1" x14ac:dyDescent="0.25">
      <c r="A12" s="11"/>
      <c r="B12" s="34"/>
      <c r="C12" s="36"/>
      <c r="D12" s="43"/>
      <c r="E12" s="43"/>
      <c r="F12" s="43"/>
      <c r="G12" s="36"/>
      <c r="H12" s="16"/>
      <c r="I12" s="16"/>
      <c r="J12" s="16"/>
      <c r="K12" s="16"/>
      <c r="L12" s="14"/>
      <c r="M12" s="14"/>
      <c r="N12" s="14"/>
      <c r="O12" s="14"/>
      <c r="P12" s="14"/>
      <c r="Q12" s="14"/>
      <c r="S12" s="14"/>
      <c r="T12" s="14"/>
      <c r="U12" s="15"/>
    </row>
    <row r="13" spans="1:21" ht="18.399999999999999" customHeight="1" x14ac:dyDescent="0.25">
      <c r="A13" s="11"/>
      <c r="B13" s="34"/>
      <c r="C13" s="35"/>
      <c r="D13" s="42"/>
      <c r="E13" s="42"/>
      <c r="F13" s="42"/>
      <c r="G13" s="35"/>
      <c r="H13" s="16"/>
      <c r="I13" s="16"/>
      <c r="J13" s="16"/>
      <c r="K13" s="16"/>
      <c r="L13" s="14"/>
      <c r="M13" s="14"/>
      <c r="N13" s="14"/>
      <c r="O13" s="14"/>
      <c r="P13" s="14"/>
      <c r="Q13" s="14"/>
      <c r="S13" s="14"/>
      <c r="T13" s="14"/>
      <c r="U13" s="15"/>
    </row>
    <row r="14" spans="1:21" ht="18.399999999999999" customHeight="1" x14ac:dyDescent="0.25">
      <c r="A14" s="11"/>
      <c r="B14" s="34"/>
      <c r="C14" s="38"/>
      <c r="D14" s="44"/>
      <c r="E14" s="45"/>
      <c r="F14" s="44"/>
      <c r="G14" s="39"/>
      <c r="H14" s="16"/>
      <c r="I14" s="16"/>
      <c r="J14" s="16"/>
      <c r="K14" s="16"/>
      <c r="L14" s="14"/>
      <c r="M14" s="14"/>
      <c r="N14" s="14"/>
      <c r="O14" s="14"/>
      <c r="P14" s="14"/>
      <c r="Q14" s="14"/>
      <c r="S14" s="14"/>
      <c r="T14" s="14"/>
      <c r="U14" s="15"/>
    </row>
    <row r="15" spans="1:21" ht="18.399999999999999" customHeight="1" x14ac:dyDescent="0.25">
      <c r="A15" s="11"/>
      <c r="B15" s="34"/>
      <c r="C15" s="35"/>
      <c r="D15" s="42"/>
      <c r="E15" s="43"/>
      <c r="F15" s="42"/>
      <c r="G15" s="36"/>
      <c r="H15" s="12"/>
      <c r="I15" s="12"/>
      <c r="J15" s="12"/>
      <c r="K15" s="12"/>
      <c r="L15" s="13"/>
      <c r="M15" s="13"/>
      <c r="N15" s="13"/>
      <c r="O15" s="13"/>
      <c r="P15" s="13"/>
      <c r="Q15" s="13"/>
      <c r="S15" s="14"/>
      <c r="T15" s="14"/>
      <c r="U15" s="15"/>
    </row>
    <row r="16" spans="1:21" ht="18.399999999999999" customHeight="1" x14ac:dyDescent="0.25">
      <c r="A16" s="11"/>
      <c r="B16" s="34"/>
      <c r="C16" s="36"/>
      <c r="D16" s="43"/>
      <c r="E16" s="43"/>
      <c r="F16" s="43"/>
      <c r="G16" s="36"/>
      <c r="H16" s="16"/>
      <c r="I16" s="16"/>
      <c r="J16" s="16"/>
      <c r="K16" s="16"/>
      <c r="L16" s="14"/>
      <c r="M16" s="14"/>
      <c r="N16" s="14"/>
      <c r="O16" s="14"/>
      <c r="P16" s="14"/>
      <c r="Q16" s="14"/>
      <c r="S16" s="14"/>
      <c r="T16" s="14"/>
      <c r="U16" s="15"/>
    </row>
    <row r="17" spans="1:21" ht="18.399999999999999" customHeight="1" x14ac:dyDescent="0.25">
      <c r="A17" s="11"/>
      <c r="B17" s="34"/>
      <c r="C17" s="35"/>
      <c r="D17" s="42"/>
      <c r="E17" s="42"/>
      <c r="F17" s="42"/>
      <c r="G17" s="35"/>
      <c r="H17" s="16"/>
      <c r="I17" s="16"/>
      <c r="J17" s="16"/>
      <c r="K17" s="16"/>
      <c r="L17" s="14"/>
      <c r="M17" s="14"/>
      <c r="N17" s="14"/>
      <c r="O17" s="14"/>
      <c r="P17" s="14"/>
      <c r="Q17" s="14"/>
      <c r="S17" s="14"/>
      <c r="T17" s="14"/>
      <c r="U17" s="15"/>
    </row>
    <row r="18" spans="1:21" ht="18.399999999999999" customHeight="1" x14ac:dyDescent="0.25">
      <c r="A18" s="11"/>
      <c r="B18" s="34"/>
      <c r="C18" s="38"/>
      <c r="D18" s="44"/>
      <c r="E18" s="45"/>
      <c r="F18" s="44"/>
      <c r="G18" s="39"/>
      <c r="H18" s="16"/>
      <c r="I18" s="16"/>
      <c r="J18" s="16"/>
      <c r="K18" s="16"/>
      <c r="L18" s="14"/>
      <c r="M18" s="14"/>
      <c r="N18" s="14"/>
      <c r="O18" s="14"/>
      <c r="P18" s="14"/>
      <c r="Q18" s="14"/>
      <c r="S18" s="14"/>
      <c r="T18" s="14"/>
      <c r="U18" s="15"/>
    </row>
    <row r="19" spans="1:21" ht="18.399999999999999" customHeight="1" x14ac:dyDescent="0.25">
      <c r="A19" s="11"/>
      <c r="B19" s="34"/>
      <c r="C19" s="38"/>
      <c r="D19" s="44"/>
      <c r="E19" s="44"/>
      <c r="F19" s="44"/>
      <c r="G19" s="38"/>
      <c r="H19" s="16"/>
      <c r="I19" s="16"/>
      <c r="J19" s="16"/>
      <c r="K19" s="16"/>
      <c r="L19" s="14"/>
      <c r="M19" s="14"/>
      <c r="N19" s="14"/>
      <c r="O19" s="14"/>
      <c r="P19" s="14"/>
      <c r="Q19" s="14"/>
      <c r="S19" s="14"/>
      <c r="T19" s="14"/>
      <c r="U19" s="15"/>
    </row>
    <row r="20" spans="1:21" ht="18.399999999999999" customHeight="1" x14ac:dyDescent="0.25">
      <c r="A20" s="11"/>
      <c r="B20" s="34"/>
      <c r="C20" s="35"/>
      <c r="D20" s="42"/>
      <c r="E20" s="43"/>
      <c r="F20" s="42"/>
      <c r="G20" s="36"/>
      <c r="H20" s="12"/>
      <c r="I20" s="12"/>
      <c r="J20" s="12"/>
      <c r="K20" s="12"/>
      <c r="L20" s="13"/>
      <c r="M20" s="13"/>
      <c r="N20" s="13"/>
      <c r="O20" s="13"/>
      <c r="P20" s="13"/>
      <c r="Q20" s="13"/>
      <c r="S20" s="14"/>
      <c r="T20" s="14"/>
      <c r="U20" s="15"/>
    </row>
    <row r="21" spans="1:21" ht="18.399999999999999" customHeight="1" x14ac:dyDescent="0.25">
      <c r="A21" s="11"/>
      <c r="B21" s="34"/>
      <c r="C21" s="36"/>
      <c r="D21" s="43"/>
      <c r="E21" s="43"/>
      <c r="F21" s="43"/>
      <c r="G21" s="36"/>
      <c r="H21" s="16"/>
      <c r="I21" s="16"/>
      <c r="J21" s="16"/>
      <c r="K21" s="16"/>
      <c r="L21" s="14"/>
      <c r="M21" s="14"/>
      <c r="N21" s="14"/>
      <c r="O21" s="14"/>
      <c r="P21" s="14"/>
      <c r="Q21" s="14"/>
      <c r="S21" s="14"/>
      <c r="T21" s="14"/>
      <c r="U21" s="15"/>
    </row>
    <row r="22" spans="1:21" ht="18.399999999999999" customHeight="1" x14ac:dyDescent="0.25">
      <c r="A22" s="11"/>
      <c r="B22" s="34"/>
      <c r="C22" s="40"/>
      <c r="D22" s="46"/>
      <c r="E22" s="46"/>
      <c r="F22" s="46"/>
      <c r="G22" s="40"/>
      <c r="H22" s="16"/>
      <c r="I22" s="16"/>
      <c r="J22" s="16"/>
      <c r="K22" s="16"/>
      <c r="L22" s="14"/>
      <c r="M22" s="14"/>
      <c r="N22" s="14"/>
      <c r="O22" s="14"/>
      <c r="P22" s="14"/>
      <c r="Q22" s="14"/>
      <c r="S22" s="14"/>
      <c r="T22" s="14"/>
      <c r="U22" s="15"/>
    </row>
    <row r="23" spans="1:21" ht="18.399999999999999" customHeight="1" x14ac:dyDescent="0.25">
      <c r="A23" s="11"/>
      <c r="B23" s="34"/>
      <c r="C23" s="35"/>
      <c r="D23" s="42"/>
      <c r="E23" s="43"/>
      <c r="F23" s="42"/>
      <c r="G23" s="36"/>
      <c r="H23" s="12"/>
      <c r="I23" s="12"/>
      <c r="J23" s="12"/>
      <c r="K23" s="12"/>
      <c r="L23" s="13"/>
      <c r="M23" s="13"/>
      <c r="N23" s="13"/>
      <c r="O23" s="13"/>
      <c r="P23" s="13"/>
      <c r="Q23" s="13"/>
      <c r="S23" s="14"/>
      <c r="T23" s="14"/>
      <c r="U23" s="15"/>
    </row>
    <row r="24" spans="1:21" ht="18.399999999999999" customHeight="1" x14ac:dyDescent="0.25">
      <c r="A24" s="11"/>
      <c r="B24" s="34"/>
      <c r="C24" s="36"/>
      <c r="D24" s="43"/>
      <c r="E24" s="43"/>
      <c r="F24" s="43"/>
      <c r="G24" s="36"/>
      <c r="H24" s="16"/>
      <c r="I24" s="16"/>
      <c r="J24" s="16"/>
      <c r="K24" s="16"/>
      <c r="L24" s="14"/>
      <c r="M24" s="14"/>
      <c r="N24" s="14"/>
      <c r="O24" s="14"/>
      <c r="P24" s="14"/>
      <c r="Q24" s="14"/>
      <c r="S24" s="14"/>
      <c r="T24" s="14"/>
      <c r="U24" s="15"/>
    </row>
    <row r="25" spans="1:21" ht="18.399999999999999" customHeight="1" x14ac:dyDescent="0.25">
      <c r="A25" s="11"/>
      <c r="B25" s="34"/>
      <c r="C25" s="40"/>
      <c r="D25" s="46"/>
      <c r="E25" s="46"/>
      <c r="F25" s="46"/>
      <c r="G25" s="40"/>
      <c r="H25" s="16"/>
      <c r="I25" s="16"/>
      <c r="J25" s="16"/>
      <c r="K25" s="16"/>
      <c r="L25" s="14"/>
      <c r="M25" s="14"/>
      <c r="N25" s="14"/>
      <c r="O25" s="14"/>
      <c r="P25" s="14"/>
      <c r="Q25" s="14"/>
      <c r="S25" s="14"/>
      <c r="T25" s="14"/>
      <c r="U25" s="15"/>
    </row>
    <row r="26" spans="1:21" ht="18.399999999999999" customHeight="1" x14ac:dyDescent="0.25">
      <c r="A26" s="11"/>
      <c r="B26" s="34"/>
      <c r="C26" s="35"/>
      <c r="D26" s="42"/>
      <c r="E26" s="43"/>
      <c r="F26" s="42"/>
      <c r="G26" s="36"/>
      <c r="H26" s="12"/>
      <c r="I26" s="12"/>
      <c r="J26" s="12"/>
      <c r="K26" s="12"/>
      <c r="L26" s="13"/>
      <c r="M26" s="13"/>
      <c r="N26" s="13"/>
      <c r="O26" s="13"/>
      <c r="P26" s="13"/>
      <c r="Q26" s="13"/>
      <c r="S26" s="14"/>
      <c r="T26" s="14"/>
      <c r="U26" s="15"/>
    </row>
    <row r="27" spans="1:21" ht="18.399999999999999" customHeight="1" x14ac:dyDescent="0.25">
      <c r="A27" s="11"/>
      <c r="B27" s="94"/>
      <c r="C27" s="38"/>
      <c r="D27" s="44"/>
      <c r="E27" s="44"/>
      <c r="F27" s="44"/>
      <c r="G27" s="38"/>
      <c r="H27" s="16"/>
      <c r="I27" s="16"/>
      <c r="J27" s="16"/>
      <c r="K27" s="16"/>
      <c r="L27" s="14"/>
      <c r="M27" s="14"/>
      <c r="N27" s="14"/>
      <c r="O27" s="14"/>
      <c r="P27" s="14"/>
      <c r="Q27" s="14"/>
      <c r="S27" s="14"/>
      <c r="T27" s="14"/>
      <c r="U27" s="15"/>
    </row>
    <row r="28" spans="1:21" ht="18.399999999999999" customHeight="1" x14ac:dyDescent="0.25">
      <c r="A28" s="11"/>
      <c r="B28" s="94"/>
      <c r="C28" s="35"/>
      <c r="D28" s="42"/>
      <c r="E28" s="43"/>
      <c r="F28" s="42"/>
      <c r="G28" s="36"/>
      <c r="H28" s="12"/>
      <c r="I28" s="12"/>
      <c r="J28" s="12"/>
      <c r="K28" s="12"/>
      <c r="L28" s="13"/>
      <c r="M28" s="13"/>
      <c r="N28" s="13"/>
      <c r="O28" s="13"/>
      <c r="P28" s="13"/>
      <c r="Q28" s="13"/>
      <c r="S28" s="14"/>
      <c r="T28" s="14"/>
      <c r="U28" s="15"/>
    </row>
    <row r="29" spans="1:21" ht="18.399999999999999" customHeight="1" x14ac:dyDescent="0.25">
      <c r="A29" s="11"/>
      <c r="B29" s="34"/>
      <c r="C29" s="36"/>
      <c r="D29" s="43"/>
      <c r="E29" s="43"/>
      <c r="F29" s="43"/>
      <c r="G29" s="36"/>
      <c r="H29" s="16"/>
      <c r="I29" s="16"/>
      <c r="J29" s="16"/>
      <c r="K29" s="16"/>
      <c r="L29" s="14"/>
      <c r="M29" s="14"/>
      <c r="N29" s="14"/>
      <c r="O29" s="14"/>
      <c r="P29" s="14"/>
      <c r="Q29" s="14"/>
      <c r="S29" s="14"/>
      <c r="T29" s="14"/>
      <c r="U29" s="15"/>
    </row>
    <row r="30" spans="1:21" ht="18.399999999999999" customHeight="1" x14ac:dyDescent="0.25">
      <c r="A30" s="11"/>
      <c r="B30" s="34"/>
      <c r="C30" s="40"/>
      <c r="D30" s="46"/>
      <c r="E30" s="46"/>
      <c r="F30" s="46"/>
      <c r="G30" s="40"/>
      <c r="H30" s="16"/>
      <c r="I30" s="16"/>
      <c r="J30" s="16"/>
      <c r="K30" s="16"/>
      <c r="L30" s="14"/>
      <c r="M30" s="14"/>
      <c r="N30" s="14"/>
      <c r="O30" s="14"/>
      <c r="P30" s="14"/>
      <c r="Q30" s="14"/>
      <c r="S30" s="14"/>
      <c r="T30" s="14"/>
      <c r="U30" s="15"/>
    </row>
    <row r="31" spans="1:21" ht="18.399999999999999" customHeight="1" x14ac:dyDescent="0.25">
      <c r="A31" s="11"/>
      <c r="B31" s="34"/>
      <c r="C31" s="35"/>
      <c r="D31" s="42"/>
      <c r="E31" s="43"/>
      <c r="F31" s="42"/>
      <c r="G31" s="36"/>
      <c r="H31" s="12"/>
      <c r="I31" s="12"/>
      <c r="J31" s="12"/>
      <c r="K31" s="12"/>
      <c r="L31" s="13"/>
      <c r="M31" s="13"/>
      <c r="N31" s="13"/>
      <c r="O31" s="13"/>
      <c r="P31" s="13"/>
      <c r="Q31" s="13"/>
      <c r="S31" s="14"/>
      <c r="T31" s="14"/>
      <c r="U31" s="15"/>
    </row>
    <row r="32" spans="1:21" ht="18.399999999999999" customHeight="1" x14ac:dyDescent="0.25">
      <c r="A32" s="11"/>
      <c r="B32" s="34"/>
      <c r="C32" s="36"/>
      <c r="D32" s="43"/>
      <c r="E32" s="43"/>
      <c r="F32" s="43"/>
      <c r="G32" s="36"/>
      <c r="H32" s="16"/>
      <c r="I32" s="16"/>
      <c r="J32" s="16"/>
      <c r="K32" s="16"/>
      <c r="L32" s="14"/>
      <c r="M32" s="14"/>
      <c r="N32" s="14"/>
      <c r="O32" s="14"/>
      <c r="P32" s="14"/>
      <c r="Q32" s="14"/>
      <c r="S32" s="14"/>
      <c r="T32" s="14"/>
      <c r="U32" s="15"/>
    </row>
    <row r="33" spans="1:21" ht="18.399999999999999" customHeight="1" x14ac:dyDescent="0.25">
      <c r="A33" s="11"/>
      <c r="B33" s="34"/>
      <c r="C33" s="40"/>
      <c r="D33" s="46"/>
      <c r="E33" s="46"/>
      <c r="F33" s="46"/>
      <c r="G33" s="40"/>
      <c r="H33" s="16"/>
      <c r="I33" s="16"/>
      <c r="J33" s="16"/>
      <c r="K33" s="16"/>
      <c r="L33" s="14"/>
      <c r="M33" s="14"/>
      <c r="N33" s="14"/>
      <c r="O33" s="14"/>
      <c r="P33" s="14"/>
      <c r="Q33" s="14"/>
      <c r="S33" s="14"/>
      <c r="T33" s="14"/>
      <c r="U33" s="15"/>
    </row>
    <row r="34" spans="1:21" ht="18.399999999999999" customHeight="1" x14ac:dyDescent="0.25">
      <c r="A34" s="11"/>
      <c r="B34" s="34"/>
      <c r="C34" s="35"/>
      <c r="D34" s="42"/>
      <c r="E34" s="43"/>
      <c r="F34" s="42"/>
      <c r="G34" s="36"/>
      <c r="H34" s="12"/>
      <c r="I34" s="12"/>
      <c r="J34" s="12"/>
      <c r="K34" s="12"/>
      <c r="L34" s="13"/>
      <c r="M34" s="13"/>
      <c r="N34" s="13"/>
      <c r="O34" s="13"/>
      <c r="P34" s="13"/>
      <c r="Q34" s="13"/>
      <c r="S34" s="14"/>
      <c r="T34" s="14"/>
      <c r="U34" s="15"/>
    </row>
    <row r="35" spans="1:21" ht="18.399999999999999" customHeight="1" x14ac:dyDescent="0.25">
      <c r="A35" s="11"/>
      <c r="B35" s="34"/>
      <c r="C35" s="36"/>
      <c r="D35" s="43"/>
      <c r="E35" s="43"/>
      <c r="F35" s="43"/>
      <c r="G35" s="36"/>
      <c r="H35" s="16"/>
      <c r="I35" s="16"/>
      <c r="J35" s="16"/>
      <c r="K35" s="16"/>
      <c r="L35" s="14"/>
      <c r="M35" s="14"/>
      <c r="N35" s="14"/>
      <c r="O35" s="14"/>
      <c r="P35" s="14"/>
      <c r="Q35" s="14"/>
      <c r="S35" s="14"/>
      <c r="T35" s="14"/>
      <c r="U35" s="15"/>
    </row>
    <row r="36" spans="1:21" ht="18.399999999999999" customHeight="1" x14ac:dyDescent="0.25">
      <c r="A36" s="11"/>
      <c r="B36" s="93"/>
      <c r="C36" s="40"/>
      <c r="D36" s="46"/>
      <c r="E36" s="46"/>
      <c r="F36" s="46"/>
      <c r="G36" s="40"/>
      <c r="H36" s="16"/>
      <c r="I36" s="16"/>
      <c r="J36" s="16"/>
      <c r="K36" s="16"/>
      <c r="L36" s="14"/>
      <c r="M36" s="14"/>
      <c r="N36" s="14"/>
      <c r="O36" s="14"/>
      <c r="P36" s="14"/>
      <c r="Q36" s="14"/>
      <c r="S36" s="14"/>
      <c r="T36" s="14"/>
      <c r="U36" s="15"/>
    </row>
    <row r="37" spans="1:21" ht="18.399999999999999" customHeight="1" x14ac:dyDescent="0.25">
      <c r="A37" s="11"/>
      <c r="B37" s="93"/>
      <c r="C37" s="35"/>
      <c r="D37" s="42"/>
      <c r="E37" s="43"/>
      <c r="F37" s="42"/>
      <c r="G37" s="36"/>
      <c r="H37" s="12"/>
      <c r="I37" s="12"/>
      <c r="J37" s="12"/>
      <c r="K37" s="12"/>
      <c r="L37" s="13"/>
      <c r="M37" s="13"/>
      <c r="N37" s="13"/>
      <c r="O37" s="13"/>
      <c r="P37" s="13"/>
      <c r="Q37" s="13"/>
      <c r="S37" s="14"/>
      <c r="T37" s="14"/>
      <c r="U37" s="15"/>
    </row>
    <row r="38" spans="1:21" ht="18.399999999999999" customHeight="1" x14ac:dyDescent="0.25">
      <c r="A38" s="11"/>
      <c r="B38" s="34"/>
      <c r="C38" s="36"/>
      <c r="D38" s="43"/>
      <c r="E38" s="43"/>
      <c r="F38" s="43"/>
      <c r="G38" s="36"/>
      <c r="H38" s="16"/>
      <c r="I38" s="16"/>
      <c r="J38" s="16"/>
      <c r="K38" s="16"/>
      <c r="L38" s="14"/>
      <c r="M38" s="14"/>
      <c r="N38" s="14"/>
      <c r="O38" s="14"/>
      <c r="P38" s="14"/>
      <c r="Q38" s="14"/>
      <c r="S38" s="14"/>
      <c r="T38" s="14"/>
      <c r="U38" s="15"/>
    </row>
    <row r="39" spans="1:21" ht="18.399999999999999" customHeight="1" x14ac:dyDescent="0.25">
      <c r="A39" s="11"/>
      <c r="B39" s="34"/>
      <c r="C39" s="35"/>
      <c r="D39" s="42"/>
      <c r="E39" s="42"/>
      <c r="F39" s="42"/>
      <c r="G39" s="35"/>
      <c r="H39" s="16"/>
      <c r="I39" s="16"/>
      <c r="J39" s="16"/>
      <c r="K39" s="16"/>
      <c r="L39" s="14"/>
      <c r="M39" s="14"/>
      <c r="N39" s="14"/>
      <c r="O39" s="14"/>
      <c r="P39" s="14"/>
      <c r="Q39" s="14"/>
      <c r="S39" s="14"/>
      <c r="T39" s="14"/>
      <c r="U39" s="15"/>
    </row>
    <row r="40" spans="1:21" ht="18.399999999999999" customHeight="1" x14ac:dyDescent="0.25">
      <c r="A40" s="11"/>
      <c r="B40" s="34"/>
      <c r="C40" s="35"/>
      <c r="D40" s="42"/>
      <c r="E40" s="43"/>
      <c r="F40" s="42"/>
      <c r="G40" s="36"/>
      <c r="H40" s="12"/>
      <c r="I40" s="12"/>
      <c r="J40" s="12"/>
      <c r="K40" s="12"/>
      <c r="L40" s="13"/>
      <c r="M40" s="13"/>
      <c r="N40" s="13"/>
      <c r="O40" s="13"/>
      <c r="P40" s="13"/>
      <c r="Q40" s="13"/>
      <c r="S40" s="14"/>
      <c r="T40" s="14"/>
      <c r="U40" s="15"/>
    </row>
    <row r="41" spans="1:21" ht="18.399999999999999" customHeight="1" x14ac:dyDescent="0.25">
      <c r="A41" s="11"/>
      <c r="B41" s="34"/>
      <c r="C41" s="36"/>
      <c r="D41" s="43"/>
      <c r="E41" s="43"/>
      <c r="F41" s="43"/>
      <c r="G41" s="36"/>
      <c r="H41" s="16"/>
      <c r="I41" s="16"/>
      <c r="J41" s="16"/>
      <c r="K41" s="16"/>
      <c r="L41" s="14"/>
      <c r="M41" s="14"/>
      <c r="N41" s="14"/>
      <c r="O41" s="14"/>
      <c r="P41" s="14"/>
      <c r="Q41" s="14"/>
      <c r="S41" s="14"/>
      <c r="T41" s="14"/>
      <c r="U41" s="15"/>
    </row>
    <row r="42" spans="1:21" ht="9" customHeight="1" x14ac:dyDescent="0.25">
      <c r="A42" s="1"/>
      <c r="B42" s="37"/>
      <c r="C42" s="20"/>
      <c r="D42" s="20"/>
      <c r="E42" s="20"/>
      <c r="F42" s="20"/>
      <c r="G42" s="20"/>
      <c r="H42" s="7"/>
      <c r="I42" s="7"/>
      <c r="J42" s="7"/>
      <c r="K42" s="7"/>
      <c r="L42" s="8"/>
      <c r="M42" s="8"/>
      <c r="N42" s="8"/>
      <c r="O42" s="8"/>
      <c r="P42" s="8"/>
      <c r="Q42" s="8"/>
      <c r="S42" s="3"/>
      <c r="T42" s="3"/>
      <c r="U42" s="3"/>
    </row>
    <row r="43" spans="1:21" ht="27.75" customHeight="1" x14ac:dyDescent="0.25">
      <c r="A43" s="1"/>
      <c r="B43" s="34" t="s">
        <v>15</v>
      </c>
      <c r="C43" s="21"/>
      <c r="D43" s="34" t="s">
        <v>16</v>
      </c>
      <c r="E43" s="21"/>
      <c r="F43" s="34"/>
      <c r="G43" s="21"/>
      <c r="H43" s="7"/>
      <c r="I43" s="7"/>
      <c r="J43" s="7"/>
      <c r="K43" s="7"/>
      <c r="L43" s="8"/>
      <c r="M43" s="8"/>
      <c r="N43" s="8"/>
      <c r="O43" s="8"/>
      <c r="P43" s="8"/>
      <c r="Q43" s="8"/>
      <c r="S43" s="3"/>
      <c r="T43" s="3"/>
      <c r="U43" s="3"/>
    </row>
    <row r="44" spans="1:21" ht="6.75" customHeight="1" x14ac:dyDescent="0.25">
      <c r="A44" s="1"/>
      <c r="B44" s="2"/>
      <c r="C44" s="1"/>
      <c r="D44" s="1"/>
      <c r="E44" s="1"/>
      <c r="F44" s="1"/>
      <c r="G44" s="1"/>
      <c r="H44" s="1"/>
      <c r="I44" s="1"/>
      <c r="J44" s="1"/>
      <c r="K44" s="1"/>
      <c r="L44" s="3"/>
      <c r="M44" s="3"/>
      <c r="N44" s="3"/>
      <c r="O44" s="3"/>
      <c r="P44" s="3"/>
      <c r="Q44" s="3"/>
      <c r="R44" s="3"/>
      <c r="S44" s="3"/>
      <c r="T44" s="3"/>
      <c r="U44" s="3"/>
    </row>
    <row r="45" spans="1:21" ht="18.75" customHeight="1" x14ac:dyDescent="0.25">
      <c r="A45" s="3"/>
      <c r="B45" s="14"/>
      <c r="C45" s="3"/>
      <c r="D45" s="3"/>
      <c r="E45" s="3"/>
      <c r="F45" s="3"/>
      <c r="G45" s="3"/>
      <c r="H45" s="3"/>
      <c r="I45" s="3"/>
      <c r="J45" s="3"/>
      <c r="K45" s="3"/>
      <c r="L45" s="3"/>
      <c r="M45" s="3"/>
      <c r="N45" s="3"/>
      <c r="O45" s="3"/>
      <c r="P45" s="3"/>
      <c r="Q45" s="3"/>
      <c r="R45" s="3"/>
      <c r="S45" s="3"/>
      <c r="T45" s="3"/>
      <c r="U45" s="3"/>
    </row>
    <row r="46" spans="1:21" ht="25.9" customHeight="1" x14ac:dyDescent="0.2">
      <c r="B46" s="24"/>
      <c r="C46" s="51"/>
      <c r="D46" s="51"/>
      <c r="E46" s="51"/>
      <c r="F46" s="24"/>
    </row>
    <row r="47" spans="1:21" ht="25.9" customHeight="1" x14ac:dyDescent="0.2">
      <c r="B47" s="24"/>
      <c r="C47" s="51"/>
      <c r="D47" s="51"/>
      <c r="E47" s="51"/>
      <c r="F47" s="24"/>
    </row>
    <row r="48" spans="1:21" ht="25.9" customHeight="1" x14ac:dyDescent="0.2">
      <c r="B48" s="24"/>
      <c r="C48" s="51"/>
      <c r="D48" s="51"/>
      <c r="E48" s="24"/>
      <c r="F48" s="24"/>
    </row>
    <row r="49" spans="2:5" ht="18.75" customHeight="1" x14ac:dyDescent="0.25"/>
    <row r="50" spans="2:5" ht="18.75" customHeight="1" x14ac:dyDescent="0.25">
      <c r="B50" s="24"/>
      <c r="C50" s="25"/>
      <c r="D50" s="50"/>
      <c r="E50" s="50"/>
    </row>
    <row r="51" spans="2:5" ht="18.75" customHeight="1" x14ac:dyDescent="0.25">
      <c r="B51" s="24"/>
      <c r="C51" s="25"/>
      <c r="D51" s="50"/>
      <c r="E51" s="50"/>
    </row>
    <row r="52" spans="2:5" ht="18.75" customHeight="1" x14ac:dyDescent="0.25">
      <c r="B52" s="24"/>
      <c r="C52" s="25"/>
      <c r="D52" s="50"/>
      <c r="E52" s="50"/>
    </row>
    <row r="53" spans="2:5" ht="18.75" customHeight="1" x14ac:dyDescent="0.25">
      <c r="B53" s="24"/>
      <c r="C53" s="25"/>
      <c r="D53" s="50"/>
      <c r="E53" s="50"/>
    </row>
    <row r="54" spans="2:5" ht="18.75" customHeight="1" x14ac:dyDescent="0.25">
      <c r="B54" s="24"/>
      <c r="C54" s="25"/>
      <c r="D54" s="50"/>
      <c r="E54" s="50"/>
    </row>
    <row r="55" spans="2:5" ht="18.75" customHeight="1" x14ac:dyDescent="0.25"/>
    <row r="56" spans="2:5" ht="18.75" customHeight="1" x14ac:dyDescent="0.25"/>
    <row r="57" spans="2:5" ht="18.75" customHeight="1" x14ac:dyDescent="0.25"/>
    <row r="58" spans="2:5" ht="18.75" customHeight="1" x14ac:dyDescent="0.25"/>
    <row r="59" spans="2:5" ht="18.75" customHeight="1" x14ac:dyDescent="0.25"/>
    <row r="60" spans="2:5" ht="18.75" customHeight="1" x14ac:dyDescent="0.25"/>
    <row r="61" spans="2:5" ht="18.75" customHeight="1" x14ac:dyDescent="0.25"/>
    <row r="62" spans="2:5" ht="18.75" customHeight="1" x14ac:dyDescent="0.25"/>
    <row r="63" spans="2:5" ht="18.75" customHeight="1" x14ac:dyDescent="0.25"/>
    <row r="64" spans="2:5"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spans="1:11" ht="18.75" customHeight="1" x14ac:dyDescent="0.25">
      <c r="A113" s="2"/>
      <c r="B113" s="2"/>
      <c r="C113" s="2"/>
      <c r="D113" s="2"/>
      <c r="E113" s="2"/>
      <c r="F113" s="2"/>
      <c r="G113" s="2"/>
      <c r="H113" s="2"/>
      <c r="I113" s="2"/>
      <c r="J113" s="2"/>
      <c r="K113" s="2"/>
    </row>
    <row r="114" spans="1:11" ht="18.75" customHeight="1" x14ac:dyDescent="0.25">
      <c r="A114" s="2"/>
      <c r="B114" s="2"/>
      <c r="C114" s="2"/>
      <c r="D114" s="2"/>
      <c r="E114" s="2"/>
      <c r="F114" s="2"/>
      <c r="G114" s="2"/>
      <c r="H114" s="2"/>
      <c r="I114" s="2"/>
      <c r="J114" s="2"/>
      <c r="K114" s="2"/>
    </row>
    <row r="115" spans="1:11" ht="18.75" customHeight="1" x14ac:dyDescent="0.25">
      <c r="A115" s="2"/>
      <c r="B115" s="2"/>
      <c r="C115" s="2"/>
      <c r="D115" s="2"/>
      <c r="E115" s="2"/>
      <c r="F115" s="2"/>
      <c r="G115" s="2"/>
      <c r="H115" s="2"/>
      <c r="I115" s="2"/>
      <c r="J115" s="2"/>
      <c r="K115" s="2"/>
    </row>
    <row r="116" spans="1:11" ht="18.75" customHeight="1" x14ac:dyDescent="0.25">
      <c r="A116" s="2"/>
      <c r="B116" s="2"/>
      <c r="C116" s="2"/>
      <c r="D116" s="2"/>
      <c r="E116" s="2"/>
      <c r="F116" s="2"/>
      <c r="G116" s="2"/>
      <c r="H116" s="2"/>
      <c r="I116" s="2"/>
      <c r="J116" s="2"/>
      <c r="K116" s="2"/>
    </row>
    <row r="117" spans="1:11" ht="18.75" customHeight="1" x14ac:dyDescent="0.25">
      <c r="A117" s="2"/>
      <c r="B117" s="2"/>
      <c r="C117" s="2"/>
      <c r="D117" s="2"/>
      <c r="E117" s="2"/>
      <c r="F117" s="2"/>
      <c r="G117" s="2"/>
      <c r="H117" s="2"/>
      <c r="I117" s="2"/>
      <c r="J117" s="2"/>
      <c r="K117" s="2"/>
    </row>
    <row r="118" spans="1:11" ht="18.75" customHeight="1" x14ac:dyDescent="0.25">
      <c r="A118" s="2"/>
      <c r="B118" s="2"/>
      <c r="C118" s="2"/>
      <c r="D118" s="2"/>
      <c r="E118" s="2"/>
      <c r="F118" s="2"/>
      <c r="G118" s="2"/>
      <c r="H118" s="2"/>
      <c r="I118" s="2"/>
      <c r="J118" s="2"/>
      <c r="K118" s="2"/>
    </row>
    <row r="119" spans="1:11" ht="18.75" customHeight="1" x14ac:dyDescent="0.25">
      <c r="A119" s="2"/>
      <c r="B119" s="2"/>
      <c r="C119" s="2"/>
      <c r="D119" s="2"/>
      <c r="E119" s="2"/>
      <c r="F119" s="2"/>
      <c r="G119" s="2"/>
      <c r="H119" s="2"/>
      <c r="I119" s="2"/>
      <c r="J119" s="2"/>
      <c r="K119" s="2"/>
    </row>
    <row r="120" spans="1:11" ht="18.75" customHeight="1" x14ac:dyDescent="0.25">
      <c r="A120" s="2"/>
      <c r="B120" s="2"/>
      <c r="C120" s="2"/>
      <c r="D120" s="2"/>
      <c r="E120" s="2"/>
      <c r="F120" s="2"/>
      <c r="G120" s="2"/>
      <c r="H120" s="2"/>
      <c r="I120" s="2"/>
      <c r="J120" s="2"/>
      <c r="K120" s="2"/>
    </row>
    <row r="121" spans="1:11" ht="18.75" customHeight="1" x14ac:dyDescent="0.25">
      <c r="A121" s="2"/>
      <c r="B121" s="2"/>
      <c r="C121" s="2"/>
      <c r="D121" s="2"/>
      <c r="E121" s="2"/>
      <c r="F121" s="2"/>
      <c r="G121" s="2"/>
      <c r="H121" s="2"/>
      <c r="I121" s="2"/>
      <c r="J121" s="2"/>
      <c r="K121" s="2"/>
    </row>
    <row r="122" spans="1:11" ht="18.75" customHeight="1" x14ac:dyDescent="0.25">
      <c r="A122" s="2"/>
      <c r="B122" s="2"/>
      <c r="C122" s="2"/>
      <c r="D122" s="2"/>
      <c r="E122" s="2"/>
      <c r="F122" s="2"/>
      <c r="G122" s="2"/>
      <c r="H122" s="2"/>
      <c r="I122" s="2"/>
      <c r="J122" s="2"/>
      <c r="K122" s="2"/>
    </row>
  </sheetData>
  <mergeCells count="4">
    <mergeCell ref="C2:F2"/>
    <mergeCell ref="D4:G8"/>
    <mergeCell ref="B27:B28"/>
    <mergeCell ref="B36:B37"/>
  </mergeCells>
  <phoneticPr fontId="28" type="noConversion"/>
  <dataValidations count="4">
    <dataValidation type="list" allowBlank="1" showInputMessage="1" showErrorMessage="1" prompt="Escolha o grupo de Job Grades" sqref="C65547:D65547 SU11:SV11 ACQ11:ACR11 AMM11:AMN11 AWI11:AWJ11 BGE11:BGF11 BQA11:BQB11 BZW11:BZX11 CJS11:CJT11 CTO11:CTP11 DDK11:DDL11 DNG11:DNH11 DXC11:DXD11 EGY11:EGZ11 EQU11:EQV11 FAQ11:FAR11 FKM11:FKN11 FUI11:FUJ11 GEE11:GEF11 GOA11:GOB11 GXW11:GXX11 HHS11:HHT11 HRO11:HRP11 IBK11:IBL11 ILG11:ILH11 IVC11:IVD11 JEY11:JEZ11 JOU11:JOV11 JYQ11:JYR11 KIM11:KIN11 KSI11:KSJ11 LCE11:LCF11 LMA11:LMB11 LVW11:LVX11 MFS11:MFT11 MPO11:MPP11 MZK11:MZL11 NJG11:NJH11 NTC11:NTD11 OCY11:OCZ11 OMU11:OMV11 OWQ11:OWR11 PGM11:PGN11 PQI11:PQJ11 QAE11:QAF11 QKA11:QKB11 QTW11:QTX11 RDS11:RDT11 RNO11:RNP11 RXK11:RXL11 SHG11:SHH11 SRC11:SRD11 TAY11:TAZ11 TKU11:TKV11 TUQ11:TUR11 UEM11:UEN11 UOI11:UOJ11 UYE11:UYF11 VIA11:VIB11 VRW11:VRX11 WBS11:WBT11 WLO11:WLP11 WVK11:WVL11 IY65547:IZ65547 SU65547:SV65547 ACQ65547:ACR65547 AMM65547:AMN65547 AWI65547:AWJ65547 BGE65547:BGF65547 BQA65547:BQB65547 BZW65547:BZX65547 CJS65547:CJT65547 CTO65547:CTP65547 DDK65547:DDL65547 DNG65547:DNH65547 DXC65547:DXD65547 EGY65547:EGZ65547 EQU65547:EQV65547 FAQ65547:FAR65547 FKM65547:FKN65547 FUI65547:FUJ65547 GEE65547:GEF65547 GOA65547:GOB65547 GXW65547:GXX65547 HHS65547:HHT65547 HRO65547:HRP65547 IBK65547:IBL65547 ILG65547:ILH65547 IVC65547:IVD65547 JEY65547:JEZ65547 JOU65547:JOV65547 JYQ65547:JYR65547 KIM65547:KIN65547 KSI65547:KSJ65547 LCE65547:LCF65547 LMA65547:LMB65547 LVW65547:LVX65547 MFS65547:MFT65547 MPO65547:MPP65547 MZK65547:MZL65547 NJG65547:NJH65547 NTC65547:NTD65547 OCY65547:OCZ65547 OMU65547:OMV65547 OWQ65547:OWR65547 PGM65547:PGN65547 PQI65547:PQJ65547 QAE65547:QAF65547 QKA65547:QKB65547 QTW65547:QTX65547 RDS65547:RDT65547 RNO65547:RNP65547 RXK65547:RXL65547 SHG65547:SHH65547 SRC65547:SRD65547 TAY65547:TAZ65547 TKU65547:TKV65547 TUQ65547:TUR65547 UEM65547:UEN65547 UOI65547:UOJ65547 UYE65547:UYF65547 VIA65547:VIB65547 VRW65547:VRX65547 WBS65547:WBT65547 WLO65547:WLP65547 WVK65547:WVL65547 IY131083:IZ131083 SU131083:SV131083 ACQ131083:ACR131083 AMM131083:AMN131083 AWI131083:AWJ131083 BGE131083:BGF131083 BQA131083:BQB131083 BZW131083:BZX131083 CJS131083:CJT131083 CTO131083:CTP131083 DDK131083:DDL131083 DNG131083:DNH131083 DXC131083:DXD131083 EGY131083:EGZ131083 EQU131083:EQV131083 FAQ131083:FAR131083 FKM131083:FKN131083 FUI131083:FUJ131083 GEE131083:GEF131083 GOA131083:GOB131083 GXW131083:GXX131083 HHS131083:HHT131083 HRO131083:HRP131083 IBK131083:IBL131083 ILG131083:ILH131083 IVC131083:IVD131083 JEY131083:JEZ131083 JOU131083:JOV131083 JYQ131083:JYR131083 KIM131083:KIN131083 KSI131083:KSJ131083 LCE131083:LCF131083 LMA131083:LMB131083 LVW131083:LVX131083 MFS131083:MFT131083 MPO131083:MPP131083 MZK131083:MZL131083 NJG131083:NJH131083 NTC131083:NTD131083 OCY131083:OCZ131083 OMU131083:OMV131083 OWQ131083:OWR131083 PGM131083:PGN131083 PQI131083:PQJ131083 QAE131083:QAF131083 QKA131083:QKB131083 QTW131083:QTX131083 RDS131083:RDT131083 RNO131083:RNP131083 RXK131083:RXL131083 SHG131083:SHH131083 SRC131083:SRD131083 TAY131083:TAZ131083 TKU131083:TKV131083 TUQ131083:TUR131083 UEM131083:UEN131083 UOI131083:UOJ131083 UYE131083:UYF131083 VIA131083:VIB131083 VRW131083:VRX131083 WBS131083:WBT131083 WLO131083:WLP131083 WVK131083:WVL131083 IY196619:IZ196619 SU196619:SV196619 ACQ196619:ACR196619 AMM196619:AMN196619 AWI196619:AWJ196619 BGE196619:BGF196619 BQA196619:BQB196619 BZW196619:BZX196619 CJS196619:CJT196619 CTO196619:CTP196619 DDK196619:DDL196619 DNG196619:DNH196619 DXC196619:DXD196619 EGY196619:EGZ196619 EQU196619:EQV196619 FAQ196619:FAR196619 FKM196619:FKN196619 FUI196619:FUJ196619 GEE196619:GEF196619 GOA196619:GOB196619 GXW196619:GXX196619 HHS196619:HHT196619 HRO196619:HRP196619 IBK196619:IBL196619 ILG196619:ILH196619 IVC196619:IVD196619 JEY196619:JEZ196619 JOU196619:JOV196619 JYQ196619:JYR196619 KIM196619:KIN196619 KSI196619:KSJ196619 LCE196619:LCF196619 LMA196619:LMB196619 LVW196619:LVX196619 MFS196619:MFT196619 MPO196619:MPP196619 MZK196619:MZL196619 NJG196619:NJH196619 NTC196619:NTD196619 OCY196619:OCZ196619 OMU196619:OMV196619 OWQ196619:OWR196619 PGM196619:PGN196619 PQI196619:PQJ196619 QAE196619:QAF196619 QKA196619:QKB196619 QTW196619:QTX196619 RDS196619:RDT196619 RNO196619:RNP196619 RXK196619:RXL196619 SHG196619:SHH196619 SRC196619:SRD196619 TAY196619:TAZ196619 TKU196619:TKV196619 TUQ196619:TUR196619 UEM196619:UEN196619 UOI196619:UOJ196619 UYE196619:UYF196619 VIA196619:VIB196619 VRW196619:VRX196619 WBS196619:WBT196619 WLO196619:WLP196619 WVK196619:WVL196619 IY262155:IZ262155 SU262155:SV262155 ACQ262155:ACR262155 AMM262155:AMN262155 AWI262155:AWJ262155 BGE262155:BGF262155 BQA262155:BQB262155 BZW262155:BZX262155 CJS262155:CJT262155 CTO262155:CTP262155 DDK262155:DDL262155 DNG262155:DNH262155 DXC262155:DXD262155 EGY262155:EGZ262155 EQU262155:EQV262155 FAQ262155:FAR262155 FKM262155:FKN262155 FUI262155:FUJ262155 GEE262155:GEF262155 GOA262155:GOB262155 GXW262155:GXX262155 HHS262155:HHT262155 HRO262155:HRP262155 IBK262155:IBL262155 ILG262155:ILH262155 IVC262155:IVD262155 JEY262155:JEZ262155 JOU262155:JOV262155 JYQ262155:JYR262155 KIM262155:KIN262155 KSI262155:KSJ262155 LCE262155:LCF262155 LMA262155:LMB262155 LVW262155:LVX262155 MFS262155:MFT262155 MPO262155:MPP262155 MZK262155:MZL262155 NJG262155:NJH262155 NTC262155:NTD262155 OCY262155:OCZ262155 OMU262155:OMV262155 OWQ262155:OWR262155 PGM262155:PGN262155 PQI262155:PQJ262155 QAE262155:QAF262155 QKA262155:QKB262155 QTW262155:QTX262155 RDS262155:RDT262155 RNO262155:RNP262155 RXK262155:RXL262155 SHG262155:SHH262155 SRC262155:SRD262155 TAY262155:TAZ262155 TKU262155:TKV262155 TUQ262155:TUR262155 UEM262155:UEN262155 UOI262155:UOJ262155 UYE262155:UYF262155 VIA262155:VIB262155 VRW262155:VRX262155 WBS262155:WBT262155 WLO262155:WLP262155 WVK262155:WVL262155 IY327691:IZ327691 SU327691:SV327691 ACQ327691:ACR327691 AMM327691:AMN327691 AWI327691:AWJ327691 BGE327691:BGF327691 BQA327691:BQB327691 BZW327691:BZX327691 CJS327691:CJT327691 CTO327691:CTP327691 DDK327691:DDL327691 DNG327691:DNH327691 DXC327691:DXD327691 EGY327691:EGZ327691 EQU327691:EQV327691 FAQ327691:FAR327691 FKM327691:FKN327691 FUI327691:FUJ327691 GEE327691:GEF327691 GOA327691:GOB327691 GXW327691:GXX327691 HHS327691:HHT327691 HRO327691:HRP327691 IBK327691:IBL327691 ILG327691:ILH327691 IVC327691:IVD327691 JEY327691:JEZ327691 JOU327691:JOV327691 JYQ327691:JYR327691 KIM327691:KIN327691 KSI327691:KSJ327691 LCE327691:LCF327691 LMA327691:LMB327691 LVW327691:LVX327691 MFS327691:MFT327691 MPO327691:MPP327691 MZK327691:MZL327691 NJG327691:NJH327691 NTC327691:NTD327691 OCY327691:OCZ327691 OMU327691:OMV327691 OWQ327691:OWR327691 PGM327691:PGN327691 PQI327691:PQJ327691 QAE327691:QAF327691 QKA327691:QKB327691 QTW327691:QTX327691 RDS327691:RDT327691 RNO327691:RNP327691 RXK327691:RXL327691 SHG327691:SHH327691 SRC327691:SRD327691 TAY327691:TAZ327691 TKU327691:TKV327691 TUQ327691:TUR327691 UEM327691:UEN327691 UOI327691:UOJ327691 UYE327691:UYF327691 VIA327691:VIB327691 VRW327691:VRX327691 WBS327691:WBT327691 WLO327691:WLP327691 WVK327691:WVL327691 IY393227:IZ393227 SU393227:SV393227 ACQ393227:ACR393227 AMM393227:AMN393227 AWI393227:AWJ393227 BGE393227:BGF393227 BQA393227:BQB393227 BZW393227:BZX393227 CJS393227:CJT393227 CTO393227:CTP393227 DDK393227:DDL393227 DNG393227:DNH393227 DXC393227:DXD393227 EGY393227:EGZ393227 EQU393227:EQV393227 FAQ393227:FAR393227 FKM393227:FKN393227 FUI393227:FUJ393227 GEE393227:GEF393227 GOA393227:GOB393227 GXW393227:GXX393227 HHS393227:HHT393227 HRO393227:HRP393227 IBK393227:IBL393227 ILG393227:ILH393227 IVC393227:IVD393227 JEY393227:JEZ393227 JOU393227:JOV393227 JYQ393227:JYR393227 KIM393227:KIN393227 KSI393227:KSJ393227 LCE393227:LCF393227 LMA393227:LMB393227 LVW393227:LVX393227 MFS393227:MFT393227 MPO393227:MPP393227 MZK393227:MZL393227 NJG393227:NJH393227 NTC393227:NTD393227 OCY393227:OCZ393227 OMU393227:OMV393227 OWQ393227:OWR393227 PGM393227:PGN393227 PQI393227:PQJ393227 QAE393227:QAF393227 QKA393227:QKB393227 QTW393227:QTX393227 RDS393227:RDT393227 RNO393227:RNP393227 RXK393227:RXL393227 SHG393227:SHH393227 SRC393227:SRD393227 TAY393227:TAZ393227 TKU393227:TKV393227 TUQ393227:TUR393227 UEM393227:UEN393227 UOI393227:UOJ393227 UYE393227:UYF393227 VIA393227:VIB393227 VRW393227:VRX393227 WBS393227:WBT393227 WLO393227:WLP393227 WVK393227:WVL393227 IY458763:IZ458763 SU458763:SV458763 ACQ458763:ACR458763 AMM458763:AMN458763 AWI458763:AWJ458763 BGE458763:BGF458763 BQA458763:BQB458763 BZW458763:BZX458763 CJS458763:CJT458763 CTO458763:CTP458763 DDK458763:DDL458763 DNG458763:DNH458763 DXC458763:DXD458763 EGY458763:EGZ458763 EQU458763:EQV458763 FAQ458763:FAR458763 FKM458763:FKN458763 FUI458763:FUJ458763 GEE458763:GEF458763 GOA458763:GOB458763 GXW458763:GXX458763 HHS458763:HHT458763 HRO458763:HRP458763 IBK458763:IBL458763 ILG458763:ILH458763 IVC458763:IVD458763 JEY458763:JEZ458763 JOU458763:JOV458763 JYQ458763:JYR458763 KIM458763:KIN458763 KSI458763:KSJ458763 LCE458763:LCF458763 LMA458763:LMB458763 LVW458763:LVX458763 MFS458763:MFT458763 MPO458763:MPP458763 MZK458763:MZL458763 NJG458763:NJH458763 NTC458763:NTD458763 OCY458763:OCZ458763 OMU458763:OMV458763 OWQ458763:OWR458763 PGM458763:PGN458763 PQI458763:PQJ458763 QAE458763:QAF458763 QKA458763:QKB458763 QTW458763:QTX458763 RDS458763:RDT458763 RNO458763:RNP458763 RXK458763:RXL458763 SHG458763:SHH458763 SRC458763:SRD458763 TAY458763:TAZ458763 TKU458763:TKV458763 TUQ458763:TUR458763 UEM458763:UEN458763 UOI458763:UOJ458763 UYE458763:UYF458763 VIA458763:VIB458763 VRW458763:VRX458763 WBS458763:WBT458763 WLO458763:WLP458763 WVK458763:WVL458763 IY524299:IZ524299 SU524299:SV524299 ACQ524299:ACR524299 AMM524299:AMN524299 AWI524299:AWJ524299 BGE524299:BGF524299 BQA524299:BQB524299 BZW524299:BZX524299 CJS524299:CJT524299 CTO524299:CTP524299 DDK524299:DDL524299 DNG524299:DNH524299 DXC524299:DXD524299 EGY524299:EGZ524299 EQU524299:EQV524299 FAQ524299:FAR524299 FKM524299:FKN524299 FUI524299:FUJ524299 GEE524299:GEF524299 GOA524299:GOB524299 GXW524299:GXX524299 HHS524299:HHT524299 HRO524299:HRP524299 IBK524299:IBL524299 ILG524299:ILH524299 IVC524299:IVD524299 JEY524299:JEZ524299 JOU524299:JOV524299 JYQ524299:JYR524299 KIM524299:KIN524299 KSI524299:KSJ524299 LCE524299:LCF524299 LMA524299:LMB524299 LVW524299:LVX524299 MFS524299:MFT524299 MPO524299:MPP524299 MZK524299:MZL524299 NJG524299:NJH524299 NTC524299:NTD524299 OCY524299:OCZ524299 OMU524299:OMV524299 OWQ524299:OWR524299 PGM524299:PGN524299 PQI524299:PQJ524299 QAE524299:QAF524299 QKA524299:QKB524299 QTW524299:QTX524299 RDS524299:RDT524299 RNO524299:RNP524299 RXK524299:RXL524299 SHG524299:SHH524299 SRC524299:SRD524299 TAY524299:TAZ524299 TKU524299:TKV524299 TUQ524299:TUR524299 UEM524299:UEN524299 UOI524299:UOJ524299 UYE524299:UYF524299 VIA524299:VIB524299 VRW524299:VRX524299 WBS524299:WBT524299 WLO524299:WLP524299 WVK524299:WVL524299 IY589835:IZ589835 SU589835:SV589835 ACQ589835:ACR589835 AMM589835:AMN589835 AWI589835:AWJ589835 BGE589835:BGF589835 BQA589835:BQB589835 BZW589835:BZX589835 CJS589835:CJT589835 CTO589835:CTP589835 DDK589835:DDL589835 DNG589835:DNH589835 DXC589835:DXD589835 EGY589835:EGZ589835 EQU589835:EQV589835 FAQ589835:FAR589835 FKM589835:FKN589835 FUI589835:FUJ589835 GEE589835:GEF589835 GOA589835:GOB589835 GXW589835:GXX589835 HHS589835:HHT589835 HRO589835:HRP589835 IBK589835:IBL589835 ILG589835:ILH589835 IVC589835:IVD589835 JEY589835:JEZ589835 JOU589835:JOV589835 JYQ589835:JYR589835 KIM589835:KIN589835 KSI589835:KSJ589835 LCE589835:LCF589835 LMA589835:LMB589835 LVW589835:LVX589835 MFS589835:MFT589835 MPO589835:MPP589835 MZK589835:MZL589835 NJG589835:NJH589835 NTC589835:NTD589835 OCY589835:OCZ589835 OMU589835:OMV589835 OWQ589835:OWR589835 PGM589835:PGN589835 PQI589835:PQJ589835 QAE589835:QAF589835 QKA589835:QKB589835 QTW589835:QTX589835 RDS589835:RDT589835 RNO589835:RNP589835 RXK589835:RXL589835 SHG589835:SHH589835 SRC589835:SRD589835 TAY589835:TAZ589835 TKU589835:TKV589835 TUQ589835:TUR589835 UEM589835:UEN589835 UOI589835:UOJ589835 UYE589835:UYF589835 VIA589835:VIB589835 VRW589835:VRX589835 WBS589835:WBT589835 WLO589835:WLP589835 WVK589835:WVL589835 IY655371:IZ655371 SU655371:SV655371 ACQ655371:ACR655371 AMM655371:AMN655371 AWI655371:AWJ655371 BGE655371:BGF655371 BQA655371:BQB655371 BZW655371:BZX655371 CJS655371:CJT655371 CTO655371:CTP655371 DDK655371:DDL655371 DNG655371:DNH655371 DXC655371:DXD655371 EGY655371:EGZ655371 EQU655371:EQV655371 FAQ655371:FAR655371 FKM655371:FKN655371 FUI655371:FUJ655371 GEE655371:GEF655371 GOA655371:GOB655371 GXW655371:GXX655371 HHS655371:HHT655371 HRO655371:HRP655371 IBK655371:IBL655371 ILG655371:ILH655371 IVC655371:IVD655371 JEY655371:JEZ655371 JOU655371:JOV655371 JYQ655371:JYR655371 KIM655371:KIN655371 KSI655371:KSJ655371 LCE655371:LCF655371 LMA655371:LMB655371 LVW655371:LVX655371 MFS655371:MFT655371 MPO655371:MPP655371 MZK655371:MZL655371 NJG655371:NJH655371 NTC655371:NTD655371 OCY655371:OCZ655371 OMU655371:OMV655371 OWQ655371:OWR655371 PGM655371:PGN655371 PQI655371:PQJ655371 QAE655371:QAF655371 QKA655371:QKB655371 QTW655371:QTX655371 RDS655371:RDT655371 RNO655371:RNP655371 RXK655371:RXL655371 SHG655371:SHH655371 SRC655371:SRD655371 TAY655371:TAZ655371 TKU655371:TKV655371 TUQ655371:TUR655371 UEM655371:UEN655371 UOI655371:UOJ655371 UYE655371:UYF655371 VIA655371:VIB655371 VRW655371:VRX655371 WBS655371:WBT655371 WLO655371:WLP655371 WVK655371:WVL655371 IY720907:IZ720907 SU720907:SV720907 ACQ720907:ACR720907 AMM720907:AMN720907 AWI720907:AWJ720907 BGE720907:BGF720907 BQA720907:BQB720907 BZW720907:BZX720907 CJS720907:CJT720907 CTO720907:CTP720907 DDK720907:DDL720907 DNG720907:DNH720907 DXC720907:DXD720907 EGY720907:EGZ720907 EQU720907:EQV720907 FAQ720907:FAR720907 FKM720907:FKN720907 FUI720907:FUJ720907 GEE720907:GEF720907 GOA720907:GOB720907 GXW720907:GXX720907 HHS720907:HHT720907 HRO720907:HRP720907 IBK720907:IBL720907 ILG720907:ILH720907 IVC720907:IVD720907 JEY720907:JEZ720907 JOU720907:JOV720907 JYQ720907:JYR720907 KIM720907:KIN720907 KSI720907:KSJ720907 LCE720907:LCF720907 LMA720907:LMB720907 LVW720907:LVX720907 MFS720907:MFT720907 MPO720907:MPP720907 MZK720907:MZL720907 NJG720907:NJH720907 NTC720907:NTD720907 OCY720907:OCZ720907 OMU720907:OMV720907 OWQ720907:OWR720907 PGM720907:PGN720907 PQI720907:PQJ720907 QAE720907:QAF720907 QKA720907:QKB720907 QTW720907:QTX720907 RDS720907:RDT720907 RNO720907:RNP720907 RXK720907:RXL720907 SHG720907:SHH720907 SRC720907:SRD720907 TAY720907:TAZ720907 TKU720907:TKV720907 TUQ720907:TUR720907 UEM720907:UEN720907 UOI720907:UOJ720907 UYE720907:UYF720907 VIA720907:VIB720907 VRW720907:VRX720907 WBS720907:WBT720907 WLO720907:WLP720907 WVK720907:WVL720907 IY786443:IZ786443 SU786443:SV786443 ACQ786443:ACR786443 AMM786443:AMN786443 AWI786443:AWJ786443 BGE786443:BGF786443 BQA786443:BQB786443 BZW786443:BZX786443 CJS786443:CJT786443 CTO786443:CTP786443 DDK786443:DDL786443 DNG786443:DNH786443 DXC786443:DXD786443 EGY786443:EGZ786443 EQU786443:EQV786443 FAQ786443:FAR786443 FKM786443:FKN786443 FUI786443:FUJ786443 GEE786443:GEF786443 GOA786443:GOB786443 GXW786443:GXX786443 HHS786443:HHT786443 HRO786443:HRP786443 IBK786443:IBL786443 ILG786443:ILH786443 IVC786443:IVD786443 JEY786443:JEZ786443 JOU786443:JOV786443 JYQ786443:JYR786443 KIM786443:KIN786443 KSI786443:KSJ786443 LCE786443:LCF786443 LMA786443:LMB786443 LVW786443:LVX786443 MFS786443:MFT786443 MPO786443:MPP786443 MZK786443:MZL786443 NJG786443:NJH786443 NTC786443:NTD786443 OCY786443:OCZ786443 OMU786443:OMV786443 OWQ786443:OWR786443 PGM786443:PGN786443 PQI786443:PQJ786443 QAE786443:QAF786443 QKA786443:QKB786443 QTW786443:QTX786443 RDS786443:RDT786443 RNO786443:RNP786443 RXK786443:RXL786443 SHG786443:SHH786443 SRC786443:SRD786443 TAY786443:TAZ786443 TKU786443:TKV786443 TUQ786443:TUR786443 UEM786443:UEN786443 UOI786443:UOJ786443 UYE786443:UYF786443 VIA786443:VIB786443 VRW786443:VRX786443 WBS786443:WBT786443 WLO786443:WLP786443 WVK786443:WVL786443 IY851979:IZ851979 SU851979:SV851979 ACQ851979:ACR851979 AMM851979:AMN851979 AWI851979:AWJ851979 BGE851979:BGF851979 BQA851979:BQB851979 BZW851979:BZX851979 CJS851979:CJT851979 CTO851979:CTP851979 DDK851979:DDL851979 DNG851979:DNH851979 DXC851979:DXD851979 EGY851979:EGZ851979 EQU851979:EQV851979 FAQ851979:FAR851979 FKM851979:FKN851979 FUI851979:FUJ851979 GEE851979:GEF851979 GOA851979:GOB851979 GXW851979:GXX851979 HHS851979:HHT851979 HRO851979:HRP851979 IBK851979:IBL851979 ILG851979:ILH851979 IVC851979:IVD851979 JEY851979:JEZ851979 JOU851979:JOV851979 JYQ851979:JYR851979 KIM851979:KIN851979 KSI851979:KSJ851979 LCE851979:LCF851979 LMA851979:LMB851979 LVW851979:LVX851979 MFS851979:MFT851979 MPO851979:MPP851979 MZK851979:MZL851979 NJG851979:NJH851979 NTC851979:NTD851979 OCY851979:OCZ851979 OMU851979:OMV851979 OWQ851979:OWR851979 PGM851979:PGN851979 PQI851979:PQJ851979 QAE851979:QAF851979 QKA851979:QKB851979 QTW851979:QTX851979 RDS851979:RDT851979 RNO851979:RNP851979 RXK851979:RXL851979 SHG851979:SHH851979 SRC851979:SRD851979 TAY851979:TAZ851979 TKU851979:TKV851979 TUQ851979:TUR851979 UEM851979:UEN851979 UOI851979:UOJ851979 UYE851979:UYF851979 VIA851979:VIB851979 VRW851979:VRX851979 WBS851979:WBT851979 WLO851979:WLP851979 WVK851979:WVL851979 IY917515:IZ917515 SU917515:SV917515 ACQ917515:ACR917515 AMM917515:AMN917515 AWI917515:AWJ917515 BGE917515:BGF917515 BQA917515:BQB917515 BZW917515:BZX917515 CJS917515:CJT917515 CTO917515:CTP917515 DDK917515:DDL917515 DNG917515:DNH917515 DXC917515:DXD917515 EGY917515:EGZ917515 EQU917515:EQV917515 FAQ917515:FAR917515 FKM917515:FKN917515 FUI917515:FUJ917515 GEE917515:GEF917515 GOA917515:GOB917515 GXW917515:GXX917515 HHS917515:HHT917515 HRO917515:HRP917515 IBK917515:IBL917515 ILG917515:ILH917515 IVC917515:IVD917515 JEY917515:JEZ917515 JOU917515:JOV917515 JYQ917515:JYR917515 KIM917515:KIN917515 KSI917515:KSJ917515 LCE917515:LCF917515 LMA917515:LMB917515 LVW917515:LVX917515 MFS917515:MFT917515 MPO917515:MPP917515 MZK917515:MZL917515 NJG917515:NJH917515 NTC917515:NTD917515 OCY917515:OCZ917515 OMU917515:OMV917515 OWQ917515:OWR917515 PGM917515:PGN917515 PQI917515:PQJ917515 QAE917515:QAF917515 QKA917515:QKB917515 QTW917515:QTX917515 RDS917515:RDT917515 RNO917515:RNP917515 RXK917515:RXL917515 SHG917515:SHH917515 SRC917515:SRD917515 TAY917515:TAZ917515 TKU917515:TKV917515 TUQ917515:TUR917515 UEM917515:UEN917515 UOI917515:UOJ917515 UYE917515:UYF917515 VIA917515:VIB917515 VRW917515:VRX917515 WBS917515:WBT917515 WLO917515:WLP917515 WVK917515:WVL917515 IY983051:IZ983051 SU983051:SV983051 ACQ983051:ACR983051 AMM983051:AMN983051 AWI983051:AWJ983051 BGE983051:BGF983051 BQA983051:BQB983051 BZW983051:BZX983051 CJS983051:CJT983051 CTO983051:CTP983051 DDK983051:DDL983051 DNG983051:DNH983051 DXC983051:DXD983051 EGY983051:EGZ983051 EQU983051:EQV983051 FAQ983051:FAR983051 FKM983051:FKN983051 FUI983051:FUJ983051 GEE983051:GEF983051 GOA983051:GOB983051 GXW983051:GXX983051 HHS983051:HHT983051 HRO983051:HRP983051 IBK983051:IBL983051 ILG983051:ILH983051 IVC983051:IVD983051 JEY983051:JEZ983051 JOU983051:JOV983051 JYQ983051:JYR983051 KIM983051:KIN983051 KSI983051:KSJ983051 LCE983051:LCF983051 LMA983051:LMB983051 LVW983051:LVX983051 MFS983051:MFT983051 MPO983051:MPP983051 MZK983051:MZL983051 NJG983051:NJH983051 NTC983051:NTD983051 OCY983051:OCZ983051 OMU983051:OMV983051 OWQ983051:OWR983051 PGM983051:PGN983051 PQI983051:PQJ983051 QAE983051:QAF983051 QKA983051:QKB983051 QTW983051:QTX983051 RDS983051:RDT983051 RNO983051:RNP983051 RXK983051:RXL983051 SHG983051:SHH983051 SRC983051:SRD983051 TAY983051:TAZ983051 TKU983051:TKV983051 TUQ983051:TUR983051 UEM983051:UEN983051 UOI983051:UOJ983051 UYE983051:UYF983051 VIA983051:VIB983051 VRW983051:VRX983051 WBS983051:WBT983051 WLO983051:WLP983051 WVK983051:WVL983051 IY11:IZ11 F65547 F131083 F196619 F262155 F327691 F393227 F458763 F524299 F589835 F655371 F720907 F786443 F851979 F917515 F983051 C983051:D983051 C917515:D917515 C851979:D851979 C786443:D786443 C720907:D720907 C655371:D655371 C589835:D589835 C524299:D524299 C458763:D458763 C393227:D393227 C327691:D327691 C262155:D262155 C196619:D196619 C131083:D131083 SU15:SV15 ACQ15:ACR15 AMM15:AMN15 AWI15:AWJ15 BGE15:BGF15 BQA15:BQB15 BZW15:BZX15 CJS15:CJT15 CTO15:CTP15 DDK15:DDL15 DNG15:DNH15 DXC15:DXD15 EGY15:EGZ15 EQU15:EQV15 FAQ15:FAR15 FKM15:FKN15 FUI15:FUJ15 GEE15:GEF15 GOA15:GOB15 GXW15:GXX15 HHS15:HHT15 HRO15:HRP15 IBK15:IBL15 ILG15:ILH15 IVC15:IVD15 JEY15:JEZ15 JOU15:JOV15 JYQ15:JYR15 KIM15:KIN15 KSI15:KSJ15 LCE15:LCF15 LMA15:LMB15 LVW15:LVX15 MFS15:MFT15 MPO15:MPP15 MZK15:MZL15 NJG15:NJH15 NTC15:NTD15 OCY15:OCZ15 OMU15:OMV15 OWQ15:OWR15 PGM15:PGN15 PQI15:PQJ15 QAE15:QAF15 QKA15:QKB15 QTW15:QTX15 RDS15:RDT15 RNO15:RNP15 RXK15:RXL15 SHG15:SHH15 SRC15:SRD15 TAY15:TAZ15 TKU15:TKV15 TUQ15:TUR15 UEM15:UEN15 UOI15:UOJ15 UYE15:UYF15 VIA15:VIB15 VRW15:VRX15 WBS15:WBT15 WLO15:WLP15 WVK15:WVL15 IY15:IZ15 SU28:SV28 ACQ28:ACR28 AMM28:AMN28 AWI28:AWJ28 BGE28:BGF28 BQA28:BQB28 BZW28:BZX28 CJS28:CJT28 CTO28:CTP28 DDK28:DDL28 DNG28:DNH28 DXC28:DXD28 EGY28:EGZ28 EQU28:EQV28 FAQ28:FAR28 FKM28:FKN28 FUI28:FUJ28 GEE28:GEF28 GOA28:GOB28 GXW28:GXX28 HHS28:HHT28 HRO28:HRP28 IBK28:IBL28 ILG28:ILH28 IVC28:IVD28 JEY28:JEZ28 JOU28:JOV28 JYQ28:JYR28 KIM28:KIN28 KSI28:KSJ28 LCE28:LCF28 LMA28:LMB28 LVW28:LVX28 MFS28:MFT28 MPO28:MPP28 MZK28:MZL28 NJG28:NJH28 NTC28:NTD28 OCY28:OCZ28 OMU28:OMV28 OWQ28:OWR28 PGM28:PGN28 PQI28:PQJ28 QAE28:QAF28 QKA28:QKB28 QTW28:QTX28 RDS28:RDT28 RNO28:RNP28 RXK28:RXL28 SHG28:SHH28 SRC28:SRD28 TAY28:TAZ28 TKU28:TKV28 TUQ28:TUR28 UEM28:UEN28 UOI28:UOJ28 UYE28:UYF28 VIA28:VIB28 VRW28:VRX28 WBS28:WBT28 WLO28:WLP28 WVK28:WVL28 IY28:IZ28 SU31:SV31 ACQ31:ACR31 AMM31:AMN31 AWI31:AWJ31 BGE31:BGF31 BQA31:BQB31 BZW31:BZX31 CJS31:CJT31 CTO31:CTP31 DDK31:DDL31 DNG31:DNH31 DXC31:DXD31 EGY31:EGZ31 EQU31:EQV31 FAQ31:FAR31 FKM31:FKN31 FUI31:FUJ31 GEE31:GEF31 GOA31:GOB31 GXW31:GXX31 HHS31:HHT31 HRO31:HRP31 IBK31:IBL31 ILG31:ILH31 IVC31:IVD31 JEY31:JEZ31 JOU31:JOV31 JYQ31:JYR31 KIM31:KIN31 KSI31:KSJ31 LCE31:LCF31 LMA31:LMB31 LVW31:LVX31 MFS31:MFT31 MPO31:MPP31 MZK31:MZL31 NJG31:NJH31 NTC31:NTD31 OCY31:OCZ31 OMU31:OMV31 OWQ31:OWR31 PGM31:PGN31 PQI31:PQJ31 QAE31:QAF31 QKA31:QKB31 QTW31:QTX31 RDS31:RDT31 RNO31:RNP31 RXK31:RXL31 SHG31:SHH31 SRC31:SRD31 TAY31:TAZ31 TKU31:TKV31 TUQ31:TUR31 UEM31:UEN31 UOI31:UOJ31 UYE31:UYF31 VIA31:VIB31 VRW31:VRX31 WBS31:WBT31 WLO31:WLP31 WVK31:WVL31 IY31:IZ31 SU34:SV34 ACQ34:ACR34 AMM34:AMN34 AWI34:AWJ34 BGE34:BGF34 BQA34:BQB34 BZW34:BZX34 CJS34:CJT34 CTO34:CTP34 DDK34:DDL34 DNG34:DNH34 DXC34:DXD34 EGY34:EGZ34 EQU34:EQV34 FAQ34:FAR34 FKM34:FKN34 FUI34:FUJ34 GEE34:GEF34 GOA34:GOB34 GXW34:GXX34 HHS34:HHT34 HRO34:HRP34 IBK34:IBL34 ILG34:ILH34 IVC34:IVD34 JEY34:JEZ34 JOU34:JOV34 JYQ34:JYR34 KIM34:KIN34 KSI34:KSJ34 LCE34:LCF34 LMA34:LMB34 LVW34:LVX34 MFS34:MFT34 MPO34:MPP34 MZK34:MZL34 NJG34:NJH34 NTC34:NTD34 OCY34:OCZ34 OMU34:OMV34 OWQ34:OWR34 PGM34:PGN34 PQI34:PQJ34 QAE34:QAF34 QKA34:QKB34 QTW34:QTX34 RDS34:RDT34 RNO34:RNP34 RXK34:RXL34 SHG34:SHH34 SRC34:SRD34 TAY34:TAZ34 TKU34:TKV34 TUQ34:TUR34 UEM34:UEN34 UOI34:UOJ34 UYE34:UYF34 VIA34:VIB34 VRW34:VRX34 WBS34:WBT34 WLO34:WLP34 WVK34:WVL34 IY34:IZ34 SU37:SV37 ACQ37:ACR37 AMM37:AMN37 AWI37:AWJ37 BGE37:BGF37 BQA37:BQB37 BZW37:BZX37 CJS37:CJT37 CTO37:CTP37 DDK37:DDL37 DNG37:DNH37 DXC37:DXD37 EGY37:EGZ37 EQU37:EQV37 FAQ37:FAR37 FKM37:FKN37 FUI37:FUJ37 GEE37:GEF37 GOA37:GOB37 GXW37:GXX37 HHS37:HHT37 HRO37:HRP37 IBK37:IBL37 ILG37:ILH37 IVC37:IVD37 JEY37:JEZ37 JOU37:JOV37 JYQ37:JYR37 KIM37:KIN37 KSI37:KSJ37 LCE37:LCF37 LMA37:LMB37 LVW37:LVX37 MFS37:MFT37 MPO37:MPP37 MZK37:MZL37 NJG37:NJH37 NTC37:NTD37 OCY37:OCZ37 OMU37:OMV37 OWQ37:OWR37 PGM37:PGN37 PQI37:PQJ37 QAE37:QAF37 QKA37:QKB37 QTW37:QTX37 RDS37:RDT37 RNO37:RNP37 RXK37:RXL37 SHG37:SHH37 SRC37:SRD37 TAY37:TAZ37 TKU37:TKV37 TUQ37:TUR37 UEM37:UEN37 UOI37:UOJ37 UYE37:UYF37 VIA37:VIB37 VRW37:VRX37 WBS37:WBT37 WLO37:WLP37 WVK37:WVL37 IY37:IZ37 SU40:SV40 ACQ40:ACR40 AMM40:AMN40 AWI40:AWJ40 BGE40:BGF40 BQA40:BQB40 BZW40:BZX40 CJS40:CJT40 CTO40:CTP40 DDK40:DDL40 DNG40:DNH40 DXC40:DXD40 EGY40:EGZ40 EQU40:EQV40 FAQ40:FAR40 FKM40:FKN40 FUI40:FUJ40 GEE40:GEF40 GOA40:GOB40 GXW40:GXX40 HHS40:HHT40 HRO40:HRP40 IBK40:IBL40 ILG40:ILH40 IVC40:IVD40 JEY40:JEZ40 JOU40:JOV40 JYQ40:JYR40 KIM40:KIN40 KSI40:KSJ40 LCE40:LCF40 LMA40:LMB40 LVW40:LVX40 MFS40:MFT40 MPO40:MPP40 MZK40:MZL40 NJG40:NJH40 NTC40:NTD40 OCY40:OCZ40 OMU40:OMV40 OWQ40:OWR40 PGM40:PGN40 PQI40:PQJ40 QAE40:QAF40 QKA40:QKB40 QTW40:QTX40 RDS40:RDT40 RNO40:RNP40 RXK40:RXL40 SHG40:SHH40 SRC40:SRD40 TAY40:TAZ40 TKU40:TKV40 TUQ40:TUR40 UEM40:UEN40 UOI40:UOJ40 UYE40:UYF40 VIA40:VIB40 VRW40:VRX40 WBS40:WBT40 WLO40:WLP40 WVK40:WVL40 IY40:IZ40 SU20:SV20 ACQ20:ACR20 AMM20:AMN20 AWI20:AWJ20 BGE20:BGF20 BQA20:BQB20 BZW20:BZX20 CJS20:CJT20 CTO20:CTP20 DDK20:DDL20 DNG20:DNH20 DXC20:DXD20 EGY20:EGZ20 EQU20:EQV20 FAQ20:FAR20 FKM20:FKN20 FUI20:FUJ20 GEE20:GEF20 GOA20:GOB20 GXW20:GXX20 HHS20:HHT20 HRO20:HRP20 IBK20:IBL20 ILG20:ILH20 IVC20:IVD20 JEY20:JEZ20 JOU20:JOV20 JYQ20:JYR20 KIM20:KIN20 KSI20:KSJ20 LCE20:LCF20 LMA20:LMB20 LVW20:LVX20 MFS20:MFT20 MPO20:MPP20 MZK20:MZL20 NJG20:NJH20 NTC20:NTD20 OCY20:OCZ20 OMU20:OMV20 OWQ20:OWR20 PGM20:PGN20 PQI20:PQJ20 QAE20:QAF20 QKA20:QKB20 QTW20:QTX20 RDS20:RDT20 RNO20:RNP20 RXK20:RXL20 SHG20:SHH20 SRC20:SRD20 TAY20:TAZ20 TKU20:TKV20 TUQ20:TUR20 UEM20:UEN20 UOI20:UOJ20 UYE20:UYF20 VIA20:VIB20 VRW20:VRX20 WBS20:WBT20 WLO20:WLP20 WVK20:WVL20 IY20:IZ20 SU23:SV23 ACQ23:ACR23 AMM23:AMN23 AWI23:AWJ23 BGE23:BGF23 BQA23:BQB23 BZW23:BZX23 CJS23:CJT23 CTO23:CTP23 DDK23:DDL23 DNG23:DNH23 DXC23:DXD23 EGY23:EGZ23 EQU23:EQV23 FAQ23:FAR23 FKM23:FKN23 FUI23:FUJ23 GEE23:GEF23 GOA23:GOB23 GXW23:GXX23 HHS23:HHT23 HRO23:HRP23 IBK23:IBL23 ILG23:ILH23 IVC23:IVD23 JEY23:JEZ23 JOU23:JOV23 JYQ23:JYR23 KIM23:KIN23 KSI23:KSJ23 LCE23:LCF23 LMA23:LMB23 LVW23:LVX23 MFS23:MFT23 MPO23:MPP23 MZK23:MZL23 NJG23:NJH23 NTC23:NTD23 OCY23:OCZ23 OMU23:OMV23 OWQ23:OWR23 PGM23:PGN23 PQI23:PQJ23 QAE23:QAF23 QKA23:QKB23 QTW23:QTX23 RDS23:RDT23 RNO23:RNP23 RXK23:RXL23 SHG23:SHH23 SRC23:SRD23 TAY23:TAZ23 TKU23:TKV23 TUQ23:TUR23 UEM23:UEN23 UOI23:UOJ23 UYE23:UYF23 VIA23:VIB23 VRW23:VRX23 WBS23:WBT23 WLO23:WLP23 WVK23:WVL23 IY23:IZ23 SU26:SV26 ACQ26:ACR26 AMM26:AMN26 AWI26:AWJ26 BGE26:BGF26 BQA26:BQB26 BZW26:BZX26 CJS26:CJT26 CTO26:CTP26 DDK26:DDL26 DNG26:DNH26 DXC26:DXD26 EGY26:EGZ26 EQU26:EQV26 FAQ26:FAR26 FKM26:FKN26 FUI26:FUJ26 GEE26:GEF26 GOA26:GOB26 GXW26:GXX26 HHS26:HHT26 HRO26:HRP26 IBK26:IBL26 ILG26:ILH26 IVC26:IVD26 JEY26:JEZ26 JOU26:JOV26 JYQ26:JYR26 KIM26:KIN26 KSI26:KSJ26 LCE26:LCF26 LMA26:LMB26 LVW26:LVX26 MFS26:MFT26 MPO26:MPP26 MZK26:MZL26 NJG26:NJH26 NTC26:NTD26 OCY26:OCZ26 OMU26:OMV26 OWQ26:OWR26 PGM26:PGN26 PQI26:PQJ26 QAE26:QAF26 QKA26:QKB26 QTW26:QTX26 RDS26:RDT26 RNO26:RNP26 RXK26:RXL26 SHG26:SHH26 SRC26:SRD26 TAY26:TAZ26 TKU26:TKV26 TUQ26:TUR26 UEM26:UEN26 UOI26:UOJ26 UYE26:UYF26 VIA26:VIB26 VRW26:VRX26 WBS26:WBT26 WLO26:WLP26 WVK26:WVL26 IY26:IZ26" xr:uid="{00000000-0002-0000-0300-000000000000}">
      <formula1>#REF!</formula1>
    </dataValidation>
    <dataValidation type="whole" allowBlank="1" showInputMessage="1" showErrorMessage="1" prompt="ID ou Chapa: Número de 7 dígitos referente à matrícula na empresa." sqref="WVK983038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34 IY65534 SU65534 ACQ65534 AMM65534 AWI65534 BGE65534 BQA65534 BZW65534 CJS65534 CTO65534 DDK65534 DNG65534 DXC65534 EGY65534 EQU65534 FAQ65534 FKM65534 FUI65534 GEE65534 GOA65534 GXW65534 HHS65534 HRO65534 IBK65534 ILG65534 IVC65534 JEY65534 JOU65534 JYQ65534 KIM65534 KSI65534 LCE65534 LMA65534 LVW65534 MFS65534 MPO65534 MZK65534 NJG65534 NTC65534 OCY65534 OMU65534 OWQ65534 PGM65534 PQI65534 QAE65534 QKA65534 QTW65534 RDS65534 RNO65534 RXK65534 SHG65534 SRC65534 TAY65534 TKU65534 TUQ65534 UEM65534 UOI65534 UYE65534 VIA65534 VRW65534 WBS65534 WLO65534 WVK65534 C131070 IY131070 SU131070 ACQ131070 AMM131070 AWI131070 BGE131070 BQA131070 BZW131070 CJS131070 CTO131070 DDK131070 DNG131070 DXC131070 EGY131070 EQU131070 FAQ131070 FKM131070 FUI131070 GEE131070 GOA131070 GXW131070 HHS131070 HRO131070 IBK131070 ILG131070 IVC131070 JEY131070 JOU131070 JYQ131070 KIM131070 KSI131070 LCE131070 LMA131070 LVW131070 MFS131070 MPO131070 MZK131070 NJG131070 NTC131070 OCY131070 OMU131070 OWQ131070 PGM131070 PQI131070 QAE131070 QKA131070 QTW131070 RDS131070 RNO131070 RXK131070 SHG131070 SRC131070 TAY131070 TKU131070 TUQ131070 UEM131070 UOI131070 UYE131070 VIA131070 VRW131070 WBS131070 WLO131070 WVK131070 C196606 IY196606 SU196606 ACQ196606 AMM196606 AWI196606 BGE196606 BQA196606 BZW196606 CJS196606 CTO196606 DDK196606 DNG196606 DXC196606 EGY196606 EQU196606 FAQ196606 FKM196606 FUI196606 GEE196606 GOA196606 GXW196606 HHS196606 HRO196606 IBK196606 ILG196606 IVC196606 JEY196606 JOU196606 JYQ196606 KIM196606 KSI196606 LCE196606 LMA196606 LVW196606 MFS196606 MPO196606 MZK196606 NJG196606 NTC196606 OCY196606 OMU196606 OWQ196606 PGM196606 PQI196606 QAE196606 QKA196606 QTW196606 RDS196606 RNO196606 RXK196606 SHG196606 SRC196606 TAY196606 TKU196606 TUQ196606 UEM196606 UOI196606 UYE196606 VIA196606 VRW196606 WBS196606 WLO196606 WVK196606 C262142 IY262142 SU262142 ACQ262142 AMM262142 AWI262142 BGE262142 BQA262142 BZW262142 CJS262142 CTO262142 DDK262142 DNG262142 DXC262142 EGY262142 EQU262142 FAQ262142 FKM262142 FUI262142 GEE262142 GOA262142 GXW262142 HHS262142 HRO262142 IBK262142 ILG262142 IVC262142 JEY262142 JOU262142 JYQ262142 KIM262142 KSI262142 LCE262142 LMA262142 LVW262142 MFS262142 MPO262142 MZK262142 NJG262142 NTC262142 OCY262142 OMU262142 OWQ262142 PGM262142 PQI262142 QAE262142 QKA262142 QTW262142 RDS262142 RNO262142 RXK262142 SHG262142 SRC262142 TAY262142 TKU262142 TUQ262142 UEM262142 UOI262142 UYE262142 VIA262142 VRW262142 WBS262142 WLO262142 WVK262142 C327678 IY327678 SU327678 ACQ327678 AMM327678 AWI327678 BGE327678 BQA327678 BZW327678 CJS327678 CTO327678 DDK327678 DNG327678 DXC327678 EGY327678 EQU327678 FAQ327678 FKM327678 FUI327678 GEE327678 GOA327678 GXW327678 HHS327678 HRO327678 IBK327678 ILG327678 IVC327678 JEY327678 JOU327678 JYQ327678 KIM327678 KSI327678 LCE327678 LMA327678 LVW327678 MFS327678 MPO327678 MZK327678 NJG327678 NTC327678 OCY327678 OMU327678 OWQ327678 PGM327678 PQI327678 QAE327678 QKA327678 QTW327678 RDS327678 RNO327678 RXK327678 SHG327678 SRC327678 TAY327678 TKU327678 TUQ327678 UEM327678 UOI327678 UYE327678 VIA327678 VRW327678 WBS327678 WLO327678 WVK327678 C393214 IY393214 SU393214 ACQ393214 AMM393214 AWI393214 BGE393214 BQA393214 BZW393214 CJS393214 CTO393214 DDK393214 DNG393214 DXC393214 EGY393214 EQU393214 FAQ393214 FKM393214 FUI393214 GEE393214 GOA393214 GXW393214 HHS393214 HRO393214 IBK393214 ILG393214 IVC393214 JEY393214 JOU393214 JYQ393214 KIM393214 KSI393214 LCE393214 LMA393214 LVW393214 MFS393214 MPO393214 MZK393214 NJG393214 NTC393214 OCY393214 OMU393214 OWQ393214 PGM393214 PQI393214 QAE393214 QKA393214 QTW393214 RDS393214 RNO393214 RXK393214 SHG393214 SRC393214 TAY393214 TKU393214 TUQ393214 UEM393214 UOI393214 UYE393214 VIA393214 VRW393214 WBS393214 WLO393214 WVK393214 C458750 IY458750 SU458750 ACQ458750 AMM458750 AWI458750 BGE458750 BQA458750 BZW458750 CJS458750 CTO458750 DDK458750 DNG458750 DXC458750 EGY458750 EQU458750 FAQ458750 FKM458750 FUI458750 GEE458750 GOA458750 GXW458750 HHS458750 HRO458750 IBK458750 ILG458750 IVC458750 JEY458750 JOU458750 JYQ458750 KIM458750 KSI458750 LCE458750 LMA458750 LVW458750 MFS458750 MPO458750 MZK458750 NJG458750 NTC458750 OCY458750 OMU458750 OWQ458750 PGM458750 PQI458750 QAE458750 QKA458750 QTW458750 RDS458750 RNO458750 RXK458750 SHG458750 SRC458750 TAY458750 TKU458750 TUQ458750 UEM458750 UOI458750 UYE458750 VIA458750 VRW458750 WBS458750 WLO458750 WVK458750 C524286 IY524286 SU524286 ACQ524286 AMM524286 AWI524286 BGE524286 BQA524286 BZW524286 CJS524286 CTO524286 DDK524286 DNG524286 DXC524286 EGY524286 EQU524286 FAQ524286 FKM524286 FUI524286 GEE524286 GOA524286 GXW524286 HHS524286 HRO524286 IBK524286 ILG524286 IVC524286 JEY524286 JOU524286 JYQ524286 KIM524286 KSI524286 LCE524286 LMA524286 LVW524286 MFS524286 MPO524286 MZK524286 NJG524286 NTC524286 OCY524286 OMU524286 OWQ524286 PGM524286 PQI524286 QAE524286 QKA524286 QTW524286 RDS524286 RNO524286 RXK524286 SHG524286 SRC524286 TAY524286 TKU524286 TUQ524286 UEM524286 UOI524286 UYE524286 VIA524286 VRW524286 WBS524286 WLO524286 WVK524286 C589822 IY589822 SU589822 ACQ589822 AMM589822 AWI589822 BGE589822 BQA589822 BZW589822 CJS589822 CTO589822 DDK589822 DNG589822 DXC589822 EGY589822 EQU589822 FAQ589822 FKM589822 FUI589822 GEE589822 GOA589822 GXW589822 HHS589822 HRO589822 IBK589822 ILG589822 IVC589822 JEY589822 JOU589822 JYQ589822 KIM589822 KSI589822 LCE589822 LMA589822 LVW589822 MFS589822 MPO589822 MZK589822 NJG589822 NTC589822 OCY589822 OMU589822 OWQ589822 PGM589822 PQI589822 QAE589822 QKA589822 QTW589822 RDS589822 RNO589822 RXK589822 SHG589822 SRC589822 TAY589822 TKU589822 TUQ589822 UEM589822 UOI589822 UYE589822 VIA589822 VRW589822 WBS589822 WLO589822 WVK589822 C655358 IY655358 SU655358 ACQ655358 AMM655358 AWI655358 BGE655358 BQA655358 BZW655358 CJS655358 CTO655358 DDK655358 DNG655358 DXC655358 EGY655358 EQU655358 FAQ655358 FKM655358 FUI655358 GEE655358 GOA655358 GXW655358 HHS655358 HRO655358 IBK655358 ILG655358 IVC655358 JEY655358 JOU655358 JYQ655358 KIM655358 KSI655358 LCE655358 LMA655358 LVW655358 MFS655358 MPO655358 MZK655358 NJG655358 NTC655358 OCY655358 OMU655358 OWQ655358 PGM655358 PQI655358 QAE655358 QKA655358 QTW655358 RDS655358 RNO655358 RXK655358 SHG655358 SRC655358 TAY655358 TKU655358 TUQ655358 UEM655358 UOI655358 UYE655358 VIA655358 VRW655358 WBS655358 WLO655358 WVK655358 C720894 IY720894 SU720894 ACQ720894 AMM720894 AWI720894 BGE720894 BQA720894 BZW720894 CJS720894 CTO720894 DDK720894 DNG720894 DXC720894 EGY720894 EQU720894 FAQ720894 FKM720894 FUI720894 GEE720894 GOA720894 GXW720894 HHS720894 HRO720894 IBK720894 ILG720894 IVC720894 JEY720894 JOU720894 JYQ720894 KIM720894 KSI720894 LCE720894 LMA720894 LVW720894 MFS720894 MPO720894 MZK720894 NJG720894 NTC720894 OCY720894 OMU720894 OWQ720894 PGM720894 PQI720894 QAE720894 QKA720894 QTW720894 RDS720894 RNO720894 RXK720894 SHG720894 SRC720894 TAY720894 TKU720894 TUQ720894 UEM720894 UOI720894 UYE720894 VIA720894 VRW720894 WBS720894 WLO720894 WVK720894 C786430 IY786430 SU786430 ACQ786430 AMM786430 AWI786430 BGE786430 BQA786430 BZW786430 CJS786430 CTO786430 DDK786430 DNG786430 DXC786430 EGY786430 EQU786430 FAQ786430 FKM786430 FUI786430 GEE786430 GOA786430 GXW786430 HHS786430 HRO786430 IBK786430 ILG786430 IVC786430 JEY786430 JOU786430 JYQ786430 KIM786430 KSI786430 LCE786430 LMA786430 LVW786430 MFS786430 MPO786430 MZK786430 NJG786430 NTC786430 OCY786430 OMU786430 OWQ786430 PGM786430 PQI786430 QAE786430 QKA786430 QTW786430 RDS786430 RNO786430 RXK786430 SHG786430 SRC786430 TAY786430 TKU786430 TUQ786430 UEM786430 UOI786430 UYE786430 VIA786430 VRW786430 WBS786430 WLO786430 WVK786430 C851966 IY851966 SU851966 ACQ851966 AMM851966 AWI851966 BGE851966 BQA851966 BZW851966 CJS851966 CTO851966 DDK851966 DNG851966 DXC851966 EGY851966 EQU851966 FAQ851966 FKM851966 FUI851966 GEE851966 GOA851966 GXW851966 HHS851966 HRO851966 IBK851966 ILG851966 IVC851966 JEY851966 JOU851966 JYQ851966 KIM851966 KSI851966 LCE851966 LMA851966 LVW851966 MFS851966 MPO851966 MZK851966 NJG851966 NTC851966 OCY851966 OMU851966 OWQ851966 PGM851966 PQI851966 QAE851966 QKA851966 QTW851966 RDS851966 RNO851966 RXK851966 SHG851966 SRC851966 TAY851966 TKU851966 TUQ851966 UEM851966 UOI851966 UYE851966 VIA851966 VRW851966 WBS851966 WLO851966 WVK851966 C917502 IY917502 SU917502 ACQ917502 AMM917502 AWI917502 BGE917502 BQA917502 BZW917502 CJS917502 CTO917502 DDK917502 DNG917502 DXC917502 EGY917502 EQU917502 FAQ917502 FKM917502 FUI917502 GEE917502 GOA917502 GXW917502 HHS917502 HRO917502 IBK917502 ILG917502 IVC917502 JEY917502 JOU917502 JYQ917502 KIM917502 KSI917502 LCE917502 LMA917502 LVW917502 MFS917502 MPO917502 MZK917502 NJG917502 NTC917502 OCY917502 OMU917502 OWQ917502 PGM917502 PQI917502 QAE917502 QKA917502 QTW917502 RDS917502 RNO917502 RXK917502 SHG917502 SRC917502 TAY917502 TKU917502 TUQ917502 UEM917502 UOI917502 UYE917502 VIA917502 VRW917502 WBS917502 WLO917502 WVK917502 C983038 IY983038 SU983038 ACQ983038 AMM983038 AWI983038 BGE983038 BQA983038 BZW983038 CJS983038 CTO983038 DDK983038 DNG983038 DXC983038 EGY983038 EQU983038 FAQ983038 FKM983038 FUI983038 GEE983038 GOA983038 GXW983038 HHS983038 HRO983038 IBK983038 ILG983038 IVC983038 JEY983038 JOU983038 JYQ983038 KIM983038 KSI983038 LCE983038 LMA983038 LVW983038 MFS983038 MPO983038 MZK983038 NJG983038 NTC983038 OCY983038 OMU983038 OWQ983038 PGM983038 PQI983038 QAE983038 QKA983038 QTW983038 RDS983038 RNO983038 RXK983038 SHG983038 SRC983038 TAY983038 TKU983038 TUQ983038 UEM983038 UOI983038 UYE983038 VIA983038 VRW983038 WBS983038 WLO983038" xr:uid="{00000000-0002-0000-0300-000001000000}">
      <formula1>1000000</formula1>
      <formula2>1009999</formula2>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35:T65535 JL65535:JP65535 TH65535:TL65535 ADD65535:ADH65535 AMZ65535:AND65535 AWV65535:AWZ65535 BGR65535:BGV65535 BQN65535:BQR65535 CAJ65535:CAN65535 CKF65535:CKJ65535 CUB65535:CUF65535 DDX65535:DEB65535 DNT65535:DNX65535 DXP65535:DXT65535 EHL65535:EHP65535 ERH65535:ERL65535 FBD65535:FBH65535 FKZ65535:FLD65535 FUV65535:FUZ65535 GER65535:GEV65535 GON65535:GOR65535 GYJ65535:GYN65535 HIF65535:HIJ65535 HSB65535:HSF65535 IBX65535:ICB65535 ILT65535:ILX65535 IVP65535:IVT65535 JFL65535:JFP65535 JPH65535:JPL65535 JZD65535:JZH65535 KIZ65535:KJD65535 KSV65535:KSZ65535 LCR65535:LCV65535 LMN65535:LMR65535 LWJ65535:LWN65535 MGF65535:MGJ65535 MQB65535:MQF65535 MZX65535:NAB65535 NJT65535:NJX65535 NTP65535:NTT65535 ODL65535:ODP65535 ONH65535:ONL65535 OXD65535:OXH65535 PGZ65535:PHD65535 PQV65535:PQZ65535 QAR65535:QAV65535 QKN65535:QKR65535 QUJ65535:QUN65535 REF65535:REJ65535 ROB65535:ROF65535 RXX65535:RYB65535 SHT65535:SHX65535 SRP65535:SRT65535 TBL65535:TBP65535 TLH65535:TLL65535 TVD65535:TVH65535 UEZ65535:UFD65535 UOV65535:UOZ65535 UYR65535:UYV65535 VIN65535:VIR65535 VSJ65535:VSN65535 WCF65535:WCJ65535 WMB65535:WMF65535 WVX65535:WWB65535 P131071:T131071 JL131071:JP131071 TH131071:TL131071 ADD131071:ADH131071 AMZ131071:AND131071 AWV131071:AWZ131071 BGR131071:BGV131071 BQN131071:BQR131071 CAJ131071:CAN131071 CKF131071:CKJ131071 CUB131071:CUF131071 DDX131071:DEB131071 DNT131071:DNX131071 DXP131071:DXT131071 EHL131071:EHP131071 ERH131071:ERL131071 FBD131071:FBH131071 FKZ131071:FLD131071 FUV131071:FUZ131071 GER131071:GEV131071 GON131071:GOR131071 GYJ131071:GYN131071 HIF131071:HIJ131071 HSB131071:HSF131071 IBX131071:ICB131071 ILT131071:ILX131071 IVP131071:IVT131071 JFL131071:JFP131071 JPH131071:JPL131071 JZD131071:JZH131071 KIZ131071:KJD131071 KSV131071:KSZ131071 LCR131071:LCV131071 LMN131071:LMR131071 LWJ131071:LWN131071 MGF131071:MGJ131071 MQB131071:MQF131071 MZX131071:NAB131071 NJT131071:NJX131071 NTP131071:NTT131071 ODL131071:ODP131071 ONH131071:ONL131071 OXD131071:OXH131071 PGZ131071:PHD131071 PQV131071:PQZ131071 QAR131071:QAV131071 QKN131071:QKR131071 QUJ131071:QUN131071 REF131071:REJ131071 ROB131071:ROF131071 RXX131071:RYB131071 SHT131071:SHX131071 SRP131071:SRT131071 TBL131071:TBP131071 TLH131071:TLL131071 TVD131071:TVH131071 UEZ131071:UFD131071 UOV131071:UOZ131071 UYR131071:UYV131071 VIN131071:VIR131071 VSJ131071:VSN131071 WCF131071:WCJ131071 WMB131071:WMF131071 WVX131071:WWB131071 P196607:T196607 JL196607:JP196607 TH196607:TL196607 ADD196607:ADH196607 AMZ196607:AND196607 AWV196607:AWZ196607 BGR196607:BGV196607 BQN196607:BQR196607 CAJ196607:CAN196607 CKF196607:CKJ196607 CUB196607:CUF196607 DDX196607:DEB196607 DNT196607:DNX196607 DXP196607:DXT196607 EHL196607:EHP196607 ERH196607:ERL196607 FBD196607:FBH196607 FKZ196607:FLD196607 FUV196607:FUZ196607 GER196607:GEV196607 GON196607:GOR196607 GYJ196607:GYN196607 HIF196607:HIJ196607 HSB196607:HSF196607 IBX196607:ICB196607 ILT196607:ILX196607 IVP196607:IVT196607 JFL196607:JFP196607 JPH196607:JPL196607 JZD196607:JZH196607 KIZ196607:KJD196607 KSV196607:KSZ196607 LCR196607:LCV196607 LMN196607:LMR196607 LWJ196607:LWN196607 MGF196607:MGJ196607 MQB196607:MQF196607 MZX196607:NAB196607 NJT196607:NJX196607 NTP196607:NTT196607 ODL196607:ODP196607 ONH196607:ONL196607 OXD196607:OXH196607 PGZ196607:PHD196607 PQV196607:PQZ196607 QAR196607:QAV196607 QKN196607:QKR196607 QUJ196607:QUN196607 REF196607:REJ196607 ROB196607:ROF196607 RXX196607:RYB196607 SHT196607:SHX196607 SRP196607:SRT196607 TBL196607:TBP196607 TLH196607:TLL196607 TVD196607:TVH196607 UEZ196607:UFD196607 UOV196607:UOZ196607 UYR196607:UYV196607 VIN196607:VIR196607 VSJ196607:VSN196607 WCF196607:WCJ196607 WMB196607:WMF196607 WVX196607:WWB196607 P262143:T262143 JL262143:JP262143 TH262143:TL262143 ADD262143:ADH262143 AMZ262143:AND262143 AWV262143:AWZ262143 BGR262143:BGV262143 BQN262143:BQR262143 CAJ262143:CAN262143 CKF262143:CKJ262143 CUB262143:CUF262143 DDX262143:DEB262143 DNT262143:DNX262143 DXP262143:DXT262143 EHL262143:EHP262143 ERH262143:ERL262143 FBD262143:FBH262143 FKZ262143:FLD262143 FUV262143:FUZ262143 GER262143:GEV262143 GON262143:GOR262143 GYJ262143:GYN262143 HIF262143:HIJ262143 HSB262143:HSF262143 IBX262143:ICB262143 ILT262143:ILX262143 IVP262143:IVT262143 JFL262143:JFP262143 JPH262143:JPL262143 JZD262143:JZH262143 KIZ262143:KJD262143 KSV262143:KSZ262143 LCR262143:LCV262143 LMN262143:LMR262143 LWJ262143:LWN262143 MGF262143:MGJ262143 MQB262143:MQF262143 MZX262143:NAB262143 NJT262143:NJX262143 NTP262143:NTT262143 ODL262143:ODP262143 ONH262143:ONL262143 OXD262143:OXH262143 PGZ262143:PHD262143 PQV262143:PQZ262143 QAR262143:QAV262143 QKN262143:QKR262143 QUJ262143:QUN262143 REF262143:REJ262143 ROB262143:ROF262143 RXX262143:RYB262143 SHT262143:SHX262143 SRP262143:SRT262143 TBL262143:TBP262143 TLH262143:TLL262143 TVD262143:TVH262143 UEZ262143:UFD262143 UOV262143:UOZ262143 UYR262143:UYV262143 VIN262143:VIR262143 VSJ262143:VSN262143 WCF262143:WCJ262143 WMB262143:WMF262143 WVX262143:WWB262143 P327679:T327679 JL327679:JP327679 TH327679:TL327679 ADD327679:ADH327679 AMZ327679:AND327679 AWV327679:AWZ327679 BGR327679:BGV327679 BQN327679:BQR327679 CAJ327679:CAN327679 CKF327679:CKJ327679 CUB327679:CUF327679 DDX327679:DEB327679 DNT327679:DNX327679 DXP327679:DXT327679 EHL327679:EHP327679 ERH327679:ERL327679 FBD327679:FBH327679 FKZ327679:FLD327679 FUV327679:FUZ327679 GER327679:GEV327679 GON327679:GOR327679 GYJ327679:GYN327679 HIF327679:HIJ327679 HSB327679:HSF327679 IBX327679:ICB327679 ILT327679:ILX327679 IVP327679:IVT327679 JFL327679:JFP327679 JPH327679:JPL327679 JZD327679:JZH327679 KIZ327679:KJD327679 KSV327679:KSZ327679 LCR327679:LCV327679 LMN327679:LMR327679 LWJ327679:LWN327679 MGF327679:MGJ327679 MQB327679:MQF327679 MZX327679:NAB327679 NJT327679:NJX327679 NTP327679:NTT327679 ODL327679:ODP327679 ONH327679:ONL327679 OXD327679:OXH327679 PGZ327679:PHD327679 PQV327679:PQZ327679 QAR327679:QAV327679 QKN327679:QKR327679 QUJ327679:QUN327679 REF327679:REJ327679 ROB327679:ROF327679 RXX327679:RYB327679 SHT327679:SHX327679 SRP327679:SRT327679 TBL327679:TBP327679 TLH327679:TLL327679 TVD327679:TVH327679 UEZ327679:UFD327679 UOV327679:UOZ327679 UYR327679:UYV327679 VIN327679:VIR327679 VSJ327679:VSN327679 WCF327679:WCJ327679 WMB327679:WMF327679 WVX327679:WWB327679 P393215:T393215 JL393215:JP393215 TH393215:TL393215 ADD393215:ADH393215 AMZ393215:AND393215 AWV393215:AWZ393215 BGR393215:BGV393215 BQN393215:BQR393215 CAJ393215:CAN393215 CKF393215:CKJ393215 CUB393215:CUF393215 DDX393215:DEB393215 DNT393215:DNX393215 DXP393215:DXT393215 EHL393215:EHP393215 ERH393215:ERL393215 FBD393215:FBH393215 FKZ393215:FLD393215 FUV393215:FUZ393215 GER393215:GEV393215 GON393215:GOR393215 GYJ393215:GYN393215 HIF393215:HIJ393215 HSB393215:HSF393215 IBX393215:ICB393215 ILT393215:ILX393215 IVP393215:IVT393215 JFL393215:JFP393215 JPH393215:JPL393215 JZD393215:JZH393215 KIZ393215:KJD393215 KSV393215:KSZ393215 LCR393215:LCV393215 LMN393215:LMR393215 LWJ393215:LWN393215 MGF393215:MGJ393215 MQB393215:MQF393215 MZX393215:NAB393215 NJT393215:NJX393215 NTP393215:NTT393215 ODL393215:ODP393215 ONH393215:ONL393215 OXD393215:OXH393215 PGZ393215:PHD393215 PQV393215:PQZ393215 QAR393215:QAV393215 QKN393215:QKR393215 QUJ393215:QUN393215 REF393215:REJ393215 ROB393215:ROF393215 RXX393215:RYB393215 SHT393215:SHX393215 SRP393215:SRT393215 TBL393215:TBP393215 TLH393215:TLL393215 TVD393215:TVH393215 UEZ393215:UFD393215 UOV393215:UOZ393215 UYR393215:UYV393215 VIN393215:VIR393215 VSJ393215:VSN393215 WCF393215:WCJ393215 WMB393215:WMF393215 WVX393215:WWB393215 P458751:T458751 JL458751:JP458751 TH458751:TL458751 ADD458751:ADH458751 AMZ458751:AND458751 AWV458751:AWZ458751 BGR458751:BGV458751 BQN458751:BQR458751 CAJ458751:CAN458751 CKF458751:CKJ458751 CUB458751:CUF458751 DDX458751:DEB458751 DNT458751:DNX458751 DXP458751:DXT458751 EHL458751:EHP458751 ERH458751:ERL458751 FBD458751:FBH458751 FKZ458751:FLD458751 FUV458751:FUZ458751 GER458751:GEV458751 GON458751:GOR458751 GYJ458751:GYN458751 HIF458751:HIJ458751 HSB458751:HSF458751 IBX458751:ICB458751 ILT458751:ILX458751 IVP458751:IVT458751 JFL458751:JFP458751 JPH458751:JPL458751 JZD458751:JZH458751 KIZ458751:KJD458751 KSV458751:KSZ458751 LCR458751:LCV458751 LMN458751:LMR458751 LWJ458751:LWN458751 MGF458751:MGJ458751 MQB458751:MQF458751 MZX458751:NAB458751 NJT458751:NJX458751 NTP458751:NTT458751 ODL458751:ODP458751 ONH458751:ONL458751 OXD458751:OXH458751 PGZ458751:PHD458751 PQV458751:PQZ458751 QAR458751:QAV458751 QKN458751:QKR458751 QUJ458751:QUN458751 REF458751:REJ458751 ROB458751:ROF458751 RXX458751:RYB458751 SHT458751:SHX458751 SRP458751:SRT458751 TBL458751:TBP458751 TLH458751:TLL458751 TVD458751:TVH458751 UEZ458751:UFD458751 UOV458751:UOZ458751 UYR458751:UYV458751 VIN458751:VIR458751 VSJ458751:VSN458751 WCF458751:WCJ458751 WMB458751:WMF458751 WVX458751:WWB458751 P524287:T524287 JL524287:JP524287 TH524287:TL524287 ADD524287:ADH524287 AMZ524287:AND524287 AWV524287:AWZ524287 BGR524287:BGV524287 BQN524287:BQR524287 CAJ524287:CAN524287 CKF524287:CKJ524287 CUB524287:CUF524287 DDX524287:DEB524287 DNT524287:DNX524287 DXP524287:DXT524287 EHL524287:EHP524287 ERH524287:ERL524287 FBD524287:FBH524287 FKZ524287:FLD524287 FUV524287:FUZ524287 GER524287:GEV524287 GON524287:GOR524287 GYJ524287:GYN524287 HIF524287:HIJ524287 HSB524287:HSF524287 IBX524287:ICB524287 ILT524287:ILX524287 IVP524287:IVT524287 JFL524287:JFP524287 JPH524287:JPL524287 JZD524287:JZH524287 KIZ524287:KJD524287 KSV524287:KSZ524287 LCR524287:LCV524287 LMN524287:LMR524287 LWJ524287:LWN524287 MGF524287:MGJ524287 MQB524287:MQF524287 MZX524287:NAB524287 NJT524287:NJX524287 NTP524287:NTT524287 ODL524287:ODP524287 ONH524287:ONL524287 OXD524287:OXH524287 PGZ524287:PHD524287 PQV524287:PQZ524287 QAR524287:QAV524287 QKN524287:QKR524287 QUJ524287:QUN524287 REF524287:REJ524287 ROB524287:ROF524287 RXX524287:RYB524287 SHT524287:SHX524287 SRP524287:SRT524287 TBL524287:TBP524287 TLH524287:TLL524287 TVD524287:TVH524287 UEZ524287:UFD524287 UOV524287:UOZ524287 UYR524287:UYV524287 VIN524287:VIR524287 VSJ524287:VSN524287 WCF524287:WCJ524287 WMB524287:WMF524287 WVX524287:WWB524287 P589823:T589823 JL589823:JP589823 TH589823:TL589823 ADD589823:ADH589823 AMZ589823:AND589823 AWV589823:AWZ589823 BGR589823:BGV589823 BQN589823:BQR589823 CAJ589823:CAN589823 CKF589823:CKJ589823 CUB589823:CUF589823 DDX589823:DEB589823 DNT589823:DNX589823 DXP589823:DXT589823 EHL589823:EHP589823 ERH589823:ERL589823 FBD589823:FBH589823 FKZ589823:FLD589823 FUV589823:FUZ589823 GER589823:GEV589823 GON589823:GOR589823 GYJ589823:GYN589823 HIF589823:HIJ589823 HSB589823:HSF589823 IBX589823:ICB589823 ILT589823:ILX589823 IVP589823:IVT589823 JFL589823:JFP589823 JPH589823:JPL589823 JZD589823:JZH589823 KIZ589823:KJD589823 KSV589823:KSZ589823 LCR589823:LCV589823 LMN589823:LMR589823 LWJ589823:LWN589823 MGF589823:MGJ589823 MQB589823:MQF589823 MZX589823:NAB589823 NJT589823:NJX589823 NTP589823:NTT589823 ODL589823:ODP589823 ONH589823:ONL589823 OXD589823:OXH589823 PGZ589823:PHD589823 PQV589823:PQZ589823 QAR589823:QAV589823 QKN589823:QKR589823 QUJ589823:QUN589823 REF589823:REJ589823 ROB589823:ROF589823 RXX589823:RYB589823 SHT589823:SHX589823 SRP589823:SRT589823 TBL589823:TBP589823 TLH589823:TLL589823 TVD589823:TVH589823 UEZ589823:UFD589823 UOV589823:UOZ589823 UYR589823:UYV589823 VIN589823:VIR589823 VSJ589823:VSN589823 WCF589823:WCJ589823 WMB589823:WMF589823 WVX589823:WWB589823 P655359:T655359 JL655359:JP655359 TH655359:TL655359 ADD655359:ADH655359 AMZ655359:AND655359 AWV655359:AWZ655359 BGR655359:BGV655359 BQN655359:BQR655359 CAJ655359:CAN655359 CKF655359:CKJ655359 CUB655359:CUF655359 DDX655359:DEB655359 DNT655359:DNX655359 DXP655359:DXT655359 EHL655359:EHP655359 ERH655359:ERL655359 FBD655359:FBH655359 FKZ655359:FLD655359 FUV655359:FUZ655359 GER655359:GEV655359 GON655359:GOR655359 GYJ655359:GYN655359 HIF655359:HIJ655359 HSB655359:HSF655359 IBX655359:ICB655359 ILT655359:ILX655359 IVP655359:IVT655359 JFL655359:JFP655359 JPH655359:JPL655359 JZD655359:JZH655359 KIZ655359:KJD655359 KSV655359:KSZ655359 LCR655359:LCV655359 LMN655359:LMR655359 LWJ655359:LWN655359 MGF655359:MGJ655359 MQB655359:MQF655359 MZX655359:NAB655359 NJT655359:NJX655359 NTP655359:NTT655359 ODL655359:ODP655359 ONH655359:ONL655359 OXD655359:OXH655359 PGZ655359:PHD655359 PQV655359:PQZ655359 QAR655359:QAV655359 QKN655359:QKR655359 QUJ655359:QUN655359 REF655359:REJ655359 ROB655359:ROF655359 RXX655359:RYB655359 SHT655359:SHX655359 SRP655359:SRT655359 TBL655359:TBP655359 TLH655359:TLL655359 TVD655359:TVH655359 UEZ655359:UFD655359 UOV655359:UOZ655359 UYR655359:UYV655359 VIN655359:VIR655359 VSJ655359:VSN655359 WCF655359:WCJ655359 WMB655359:WMF655359 WVX655359:WWB655359 P720895:T720895 JL720895:JP720895 TH720895:TL720895 ADD720895:ADH720895 AMZ720895:AND720895 AWV720895:AWZ720895 BGR720895:BGV720895 BQN720895:BQR720895 CAJ720895:CAN720895 CKF720895:CKJ720895 CUB720895:CUF720895 DDX720895:DEB720895 DNT720895:DNX720895 DXP720895:DXT720895 EHL720895:EHP720895 ERH720895:ERL720895 FBD720895:FBH720895 FKZ720895:FLD720895 FUV720895:FUZ720895 GER720895:GEV720895 GON720895:GOR720895 GYJ720895:GYN720895 HIF720895:HIJ720895 HSB720895:HSF720895 IBX720895:ICB720895 ILT720895:ILX720895 IVP720895:IVT720895 JFL720895:JFP720895 JPH720895:JPL720895 JZD720895:JZH720895 KIZ720895:KJD720895 KSV720895:KSZ720895 LCR720895:LCV720895 LMN720895:LMR720895 LWJ720895:LWN720895 MGF720895:MGJ720895 MQB720895:MQF720895 MZX720895:NAB720895 NJT720895:NJX720895 NTP720895:NTT720895 ODL720895:ODP720895 ONH720895:ONL720895 OXD720895:OXH720895 PGZ720895:PHD720895 PQV720895:PQZ720895 QAR720895:QAV720895 QKN720895:QKR720895 QUJ720895:QUN720895 REF720895:REJ720895 ROB720895:ROF720895 RXX720895:RYB720895 SHT720895:SHX720895 SRP720895:SRT720895 TBL720895:TBP720895 TLH720895:TLL720895 TVD720895:TVH720895 UEZ720895:UFD720895 UOV720895:UOZ720895 UYR720895:UYV720895 VIN720895:VIR720895 VSJ720895:VSN720895 WCF720895:WCJ720895 WMB720895:WMF720895 WVX720895:WWB720895 P786431:T786431 JL786431:JP786431 TH786431:TL786431 ADD786431:ADH786431 AMZ786431:AND786431 AWV786431:AWZ786431 BGR786431:BGV786431 BQN786431:BQR786431 CAJ786431:CAN786431 CKF786431:CKJ786431 CUB786431:CUF786431 DDX786431:DEB786431 DNT786431:DNX786431 DXP786431:DXT786431 EHL786431:EHP786431 ERH786431:ERL786431 FBD786431:FBH786431 FKZ786431:FLD786431 FUV786431:FUZ786431 GER786431:GEV786431 GON786431:GOR786431 GYJ786431:GYN786431 HIF786431:HIJ786431 HSB786431:HSF786431 IBX786431:ICB786431 ILT786431:ILX786431 IVP786431:IVT786431 JFL786431:JFP786431 JPH786431:JPL786431 JZD786431:JZH786431 KIZ786431:KJD786431 KSV786431:KSZ786431 LCR786431:LCV786431 LMN786431:LMR786431 LWJ786431:LWN786431 MGF786431:MGJ786431 MQB786431:MQF786431 MZX786431:NAB786431 NJT786431:NJX786431 NTP786431:NTT786431 ODL786431:ODP786431 ONH786431:ONL786431 OXD786431:OXH786431 PGZ786431:PHD786431 PQV786431:PQZ786431 QAR786431:QAV786431 QKN786431:QKR786431 QUJ786431:QUN786431 REF786431:REJ786431 ROB786431:ROF786431 RXX786431:RYB786431 SHT786431:SHX786431 SRP786431:SRT786431 TBL786431:TBP786431 TLH786431:TLL786431 TVD786431:TVH786431 UEZ786431:UFD786431 UOV786431:UOZ786431 UYR786431:UYV786431 VIN786431:VIR786431 VSJ786431:VSN786431 WCF786431:WCJ786431 WMB786431:WMF786431 WVX786431:WWB786431 P851967:T851967 JL851967:JP851967 TH851967:TL851967 ADD851967:ADH851967 AMZ851967:AND851967 AWV851967:AWZ851967 BGR851967:BGV851967 BQN851967:BQR851967 CAJ851967:CAN851967 CKF851967:CKJ851967 CUB851967:CUF851967 DDX851967:DEB851967 DNT851967:DNX851967 DXP851967:DXT851967 EHL851967:EHP851967 ERH851967:ERL851967 FBD851967:FBH851967 FKZ851967:FLD851967 FUV851967:FUZ851967 GER851967:GEV851967 GON851967:GOR851967 GYJ851967:GYN851967 HIF851967:HIJ851967 HSB851967:HSF851967 IBX851967:ICB851967 ILT851967:ILX851967 IVP851967:IVT851967 JFL851967:JFP851967 JPH851967:JPL851967 JZD851967:JZH851967 KIZ851967:KJD851967 KSV851967:KSZ851967 LCR851967:LCV851967 LMN851967:LMR851967 LWJ851967:LWN851967 MGF851967:MGJ851967 MQB851967:MQF851967 MZX851967:NAB851967 NJT851967:NJX851967 NTP851967:NTT851967 ODL851967:ODP851967 ONH851967:ONL851967 OXD851967:OXH851967 PGZ851967:PHD851967 PQV851967:PQZ851967 QAR851967:QAV851967 QKN851967:QKR851967 QUJ851967:QUN851967 REF851967:REJ851967 ROB851967:ROF851967 RXX851967:RYB851967 SHT851967:SHX851967 SRP851967:SRT851967 TBL851967:TBP851967 TLH851967:TLL851967 TVD851967:TVH851967 UEZ851967:UFD851967 UOV851967:UOZ851967 UYR851967:UYV851967 VIN851967:VIR851967 VSJ851967:VSN851967 WCF851967:WCJ851967 WMB851967:WMF851967 WVX851967:WWB851967 P917503:T917503 JL917503:JP917503 TH917503:TL917503 ADD917503:ADH917503 AMZ917503:AND917503 AWV917503:AWZ917503 BGR917503:BGV917503 BQN917503:BQR917503 CAJ917503:CAN917503 CKF917503:CKJ917503 CUB917503:CUF917503 DDX917503:DEB917503 DNT917503:DNX917503 DXP917503:DXT917503 EHL917503:EHP917503 ERH917503:ERL917503 FBD917503:FBH917503 FKZ917503:FLD917503 FUV917503:FUZ917503 GER917503:GEV917503 GON917503:GOR917503 GYJ917503:GYN917503 HIF917503:HIJ917503 HSB917503:HSF917503 IBX917503:ICB917503 ILT917503:ILX917503 IVP917503:IVT917503 JFL917503:JFP917503 JPH917503:JPL917503 JZD917503:JZH917503 KIZ917503:KJD917503 KSV917503:KSZ917503 LCR917503:LCV917503 LMN917503:LMR917503 LWJ917503:LWN917503 MGF917503:MGJ917503 MQB917503:MQF917503 MZX917503:NAB917503 NJT917503:NJX917503 NTP917503:NTT917503 ODL917503:ODP917503 ONH917503:ONL917503 OXD917503:OXH917503 PGZ917503:PHD917503 PQV917503:PQZ917503 QAR917503:QAV917503 QKN917503:QKR917503 QUJ917503:QUN917503 REF917503:REJ917503 ROB917503:ROF917503 RXX917503:RYB917503 SHT917503:SHX917503 SRP917503:SRT917503 TBL917503:TBP917503 TLH917503:TLL917503 TVD917503:TVH917503 UEZ917503:UFD917503 UOV917503:UOZ917503 UYR917503:UYV917503 VIN917503:VIR917503 VSJ917503:VSN917503 WCF917503:WCJ917503 WMB917503:WMF917503 WVX917503:WWB917503 P983039:T983039 JL983039:JP983039 TH983039:TL983039 ADD983039:ADH983039 AMZ983039:AND983039 AWV983039:AWZ983039 BGR983039:BGV983039 BQN983039:BQR983039 CAJ983039:CAN983039 CKF983039:CKJ983039 CUB983039:CUF983039 DDX983039:DEB983039 DNT983039:DNX983039 DXP983039:DXT983039 EHL983039:EHP983039 ERH983039:ERL983039 FBD983039:FBH983039 FKZ983039:FLD983039 FUV983039:FUZ983039 GER983039:GEV983039 GON983039:GOR983039 GYJ983039:GYN983039 HIF983039:HIJ983039 HSB983039:HSF983039 IBX983039:ICB983039 ILT983039:ILX983039 IVP983039:IVT983039 JFL983039:JFP983039 JPH983039:JPL983039 JZD983039:JZH983039 KIZ983039:KJD983039 KSV983039:KSZ983039 LCR983039:LCV983039 LMN983039:LMR983039 LWJ983039:LWN983039 MGF983039:MGJ983039 MQB983039:MQF983039 MZX983039:NAB983039 NJT983039:NJX983039 NTP983039:NTT983039 ODL983039:ODP983039 ONH983039:ONL983039 OXD983039:OXH983039 PGZ983039:PHD983039 PQV983039:PQZ983039 QAR983039:QAV983039 QKN983039:QKR983039 QUJ983039:QUN983039 REF983039:REJ983039 ROB983039:ROF983039 RXX983039:RYB983039 SHT983039:SHX983039 SRP983039:SRT983039 TBL983039:TBP983039 TLH983039:TLL983039 TVD983039:TVH983039 UEZ983039:UFD983039 UOV983039:UOZ983039 UYR983039:UYV983039 VIN983039:VIR983039 VSJ983039:VSN983039 WCF983039:WCJ983039 WMB983039:WMF983039 WVX983039:WWB983039 H65533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69 JC65533:JD65533 SY65533:SZ65533 ACU65533:ACV65533 AMQ65533:AMR65533 AWM65533:AWN65533 BGI65533:BGJ65533 BQE65533:BQF65533 CAA65533:CAB65533 CJW65533:CJX65533 CTS65533:CTT65533 DDO65533:DDP65533 DNK65533:DNL65533 DXG65533:DXH65533 EHC65533:EHD65533 EQY65533:EQZ65533 FAU65533:FAV65533 FKQ65533:FKR65533 FUM65533:FUN65533 GEI65533:GEJ65533 GOE65533:GOF65533 GYA65533:GYB65533 HHW65533:HHX65533 HRS65533:HRT65533 IBO65533:IBP65533 ILK65533:ILL65533 IVG65533:IVH65533 JFC65533:JFD65533 JOY65533:JOZ65533 JYU65533:JYV65533 KIQ65533:KIR65533 KSM65533:KSN65533 LCI65533:LCJ65533 LME65533:LMF65533 LWA65533:LWB65533 MFW65533:MFX65533 MPS65533:MPT65533 MZO65533:MZP65533 NJK65533:NJL65533 NTG65533:NTH65533 ODC65533:ODD65533 OMY65533:OMZ65533 OWU65533:OWV65533 PGQ65533:PGR65533 PQM65533:PQN65533 QAI65533:QAJ65533 QKE65533:QKF65533 QUA65533:QUB65533 RDW65533:RDX65533 RNS65533:RNT65533 RXO65533:RXP65533 SHK65533:SHL65533 SRG65533:SRH65533 TBC65533:TBD65533 TKY65533:TKZ65533 TUU65533:TUV65533 UEQ65533:UER65533 UOM65533:UON65533 UYI65533:UYJ65533 VIE65533:VIF65533 VSA65533:VSB65533 WBW65533:WBX65533 WLS65533:WLT65533 WVO65533:WVP65533 H196605 JC131069:JD131069 SY131069:SZ131069 ACU131069:ACV131069 AMQ131069:AMR131069 AWM131069:AWN131069 BGI131069:BGJ131069 BQE131069:BQF131069 CAA131069:CAB131069 CJW131069:CJX131069 CTS131069:CTT131069 DDO131069:DDP131069 DNK131069:DNL131069 DXG131069:DXH131069 EHC131069:EHD131069 EQY131069:EQZ131069 FAU131069:FAV131069 FKQ131069:FKR131069 FUM131069:FUN131069 GEI131069:GEJ131069 GOE131069:GOF131069 GYA131069:GYB131069 HHW131069:HHX131069 HRS131069:HRT131069 IBO131069:IBP131069 ILK131069:ILL131069 IVG131069:IVH131069 JFC131069:JFD131069 JOY131069:JOZ131069 JYU131069:JYV131069 KIQ131069:KIR131069 KSM131069:KSN131069 LCI131069:LCJ131069 LME131069:LMF131069 LWA131069:LWB131069 MFW131069:MFX131069 MPS131069:MPT131069 MZO131069:MZP131069 NJK131069:NJL131069 NTG131069:NTH131069 ODC131069:ODD131069 OMY131069:OMZ131069 OWU131069:OWV131069 PGQ131069:PGR131069 PQM131069:PQN131069 QAI131069:QAJ131069 QKE131069:QKF131069 QUA131069:QUB131069 RDW131069:RDX131069 RNS131069:RNT131069 RXO131069:RXP131069 SHK131069:SHL131069 SRG131069:SRH131069 TBC131069:TBD131069 TKY131069:TKZ131069 TUU131069:TUV131069 UEQ131069:UER131069 UOM131069:UON131069 UYI131069:UYJ131069 VIE131069:VIF131069 VSA131069:VSB131069 WBW131069:WBX131069 WLS131069:WLT131069 WVO131069:WVP131069 H262141 JC196605:JD196605 SY196605:SZ196605 ACU196605:ACV196605 AMQ196605:AMR196605 AWM196605:AWN196605 BGI196605:BGJ196605 BQE196605:BQF196605 CAA196605:CAB196605 CJW196605:CJX196605 CTS196605:CTT196605 DDO196605:DDP196605 DNK196605:DNL196605 DXG196605:DXH196605 EHC196605:EHD196605 EQY196605:EQZ196605 FAU196605:FAV196605 FKQ196605:FKR196605 FUM196605:FUN196605 GEI196605:GEJ196605 GOE196605:GOF196605 GYA196605:GYB196605 HHW196605:HHX196605 HRS196605:HRT196605 IBO196605:IBP196605 ILK196605:ILL196605 IVG196605:IVH196605 JFC196605:JFD196605 JOY196605:JOZ196605 JYU196605:JYV196605 KIQ196605:KIR196605 KSM196605:KSN196605 LCI196605:LCJ196605 LME196605:LMF196605 LWA196605:LWB196605 MFW196605:MFX196605 MPS196605:MPT196605 MZO196605:MZP196605 NJK196605:NJL196605 NTG196605:NTH196605 ODC196605:ODD196605 OMY196605:OMZ196605 OWU196605:OWV196605 PGQ196605:PGR196605 PQM196605:PQN196605 QAI196605:QAJ196605 QKE196605:QKF196605 QUA196605:QUB196605 RDW196605:RDX196605 RNS196605:RNT196605 RXO196605:RXP196605 SHK196605:SHL196605 SRG196605:SRH196605 TBC196605:TBD196605 TKY196605:TKZ196605 TUU196605:TUV196605 UEQ196605:UER196605 UOM196605:UON196605 UYI196605:UYJ196605 VIE196605:VIF196605 VSA196605:VSB196605 WBW196605:WBX196605 WLS196605:WLT196605 WVO196605:WVP196605 H327677 JC262141:JD262141 SY262141:SZ262141 ACU262141:ACV262141 AMQ262141:AMR262141 AWM262141:AWN262141 BGI262141:BGJ262141 BQE262141:BQF262141 CAA262141:CAB262141 CJW262141:CJX262141 CTS262141:CTT262141 DDO262141:DDP262141 DNK262141:DNL262141 DXG262141:DXH262141 EHC262141:EHD262141 EQY262141:EQZ262141 FAU262141:FAV262141 FKQ262141:FKR262141 FUM262141:FUN262141 GEI262141:GEJ262141 GOE262141:GOF262141 GYA262141:GYB262141 HHW262141:HHX262141 HRS262141:HRT262141 IBO262141:IBP262141 ILK262141:ILL262141 IVG262141:IVH262141 JFC262141:JFD262141 JOY262141:JOZ262141 JYU262141:JYV262141 KIQ262141:KIR262141 KSM262141:KSN262141 LCI262141:LCJ262141 LME262141:LMF262141 LWA262141:LWB262141 MFW262141:MFX262141 MPS262141:MPT262141 MZO262141:MZP262141 NJK262141:NJL262141 NTG262141:NTH262141 ODC262141:ODD262141 OMY262141:OMZ262141 OWU262141:OWV262141 PGQ262141:PGR262141 PQM262141:PQN262141 QAI262141:QAJ262141 QKE262141:QKF262141 QUA262141:QUB262141 RDW262141:RDX262141 RNS262141:RNT262141 RXO262141:RXP262141 SHK262141:SHL262141 SRG262141:SRH262141 TBC262141:TBD262141 TKY262141:TKZ262141 TUU262141:TUV262141 UEQ262141:UER262141 UOM262141:UON262141 UYI262141:UYJ262141 VIE262141:VIF262141 VSA262141:VSB262141 WBW262141:WBX262141 WLS262141:WLT262141 WVO262141:WVP262141 H393213 JC327677:JD327677 SY327677:SZ327677 ACU327677:ACV327677 AMQ327677:AMR327677 AWM327677:AWN327677 BGI327677:BGJ327677 BQE327677:BQF327677 CAA327677:CAB327677 CJW327677:CJX327677 CTS327677:CTT327677 DDO327677:DDP327677 DNK327677:DNL327677 DXG327677:DXH327677 EHC327677:EHD327677 EQY327677:EQZ327677 FAU327677:FAV327677 FKQ327677:FKR327677 FUM327677:FUN327677 GEI327677:GEJ327677 GOE327677:GOF327677 GYA327677:GYB327677 HHW327677:HHX327677 HRS327677:HRT327677 IBO327677:IBP327677 ILK327677:ILL327677 IVG327677:IVH327677 JFC327677:JFD327677 JOY327677:JOZ327677 JYU327677:JYV327677 KIQ327677:KIR327677 KSM327677:KSN327677 LCI327677:LCJ327677 LME327677:LMF327677 LWA327677:LWB327677 MFW327677:MFX327677 MPS327677:MPT327677 MZO327677:MZP327677 NJK327677:NJL327677 NTG327677:NTH327677 ODC327677:ODD327677 OMY327677:OMZ327677 OWU327677:OWV327677 PGQ327677:PGR327677 PQM327677:PQN327677 QAI327677:QAJ327677 QKE327677:QKF327677 QUA327677:QUB327677 RDW327677:RDX327677 RNS327677:RNT327677 RXO327677:RXP327677 SHK327677:SHL327677 SRG327677:SRH327677 TBC327677:TBD327677 TKY327677:TKZ327677 TUU327677:TUV327677 UEQ327677:UER327677 UOM327677:UON327677 UYI327677:UYJ327677 VIE327677:VIF327677 VSA327677:VSB327677 WBW327677:WBX327677 WLS327677:WLT327677 WVO327677:WVP327677 H458749 JC393213:JD393213 SY393213:SZ393213 ACU393213:ACV393213 AMQ393213:AMR393213 AWM393213:AWN393213 BGI393213:BGJ393213 BQE393213:BQF393213 CAA393213:CAB393213 CJW393213:CJX393213 CTS393213:CTT393213 DDO393213:DDP393213 DNK393213:DNL393213 DXG393213:DXH393213 EHC393213:EHD393213 EQY393213:EQZ393213 FAU393213:FAV393213 FKQ393213:FKR393213 FUM393213:FUN393213 GEI393213:GEJ393213 GOE393213:GOF393213 GYA393213:GYB393213 HHW393213:HHX393213 HRS393213:HRT393213 IBO393213:IBP393213 ILK393213:ILL393213 IVG393213:IVH393213 JFC393213:JFD393213 JOY393213:JOZ393213 JYU393213:JYV393213 KIQ393213:KIR393213 KSM393213:KSN393213 LCI393213:LCJ393213 LME393213:LMF393213 LWA393213:LWB393213 MFW393213:MFX393213 MPS393213:MPT393213 MZO393213:MZP393213 NJK393213:NJL393213 NTG393213:NTH393213 ODC393213:ODD393213 OMY393213:OMZ393213 OWU393213:OWV393213 PGQ393213:PGR393213 PQM393213:PQN393213 QAI393213:QAJ393213 QKE393213:QKF393213 QUA393213:QUB393213 RDW393213:RDX393213 RNS393213:RNT393213 RXO393213:RXP393213 SHK393213:SHL393213 SRG393213:SRH393213 TBC393213:TBD393213 TKY393213:TKZ393213 TUU393213:TUV393213 UEQ393213:UER393213 UOM393213:UON393213 UYI393213:UYJ393213 VIE393213:VIF393213 VSA393213:VSB393213 WBW393213:WBX393213 WLS393213:WLT393213 WVO393213:WVP393213 H524285 JC458749:JD458749 SY458749:SZ458749 ACU458749:ACV458749 AMQ458749:AMR458749 AWM458749:AWN458749 BGI458749:BGJ458749 BQE458749:BQF458749 CAA458749:CAB458749 CJW458749:CJX458749 CTS458749:CTT458749 DDO458749:DDP458749 DNK458749:DNL458749 DXG458749:DXH458749 EHC458749:EHD458749 EQY458749:EQZ458749 FAU458749:FAV458749 FKQ458749:FKR458749 FUM458749:FUN458749 GEI458749:GEJ458749 GOE458749:GOF458749 GYA458749:GYB458749 HHW458749:HHX458749 HRS458749:HRT458749 IBO458749:IBP458749 ILK458749:ILL458749 IVG458749:IVH458749 JFC458749:JFD458749 JOY458749:JOZ458749 JYU458749:JYV458749 KIQ458749:KIR458749 KSM458749:KSN458749 LCI458749:LCJ458749 LME458749:LMF458749 LWA458749:LWB458749 MFW458749:MFX458749 MPS458749:MPT458749 MZO458749:MZP458749 NJK458749:NJL458749 NTG458749:NTH458749 ODC458749:ODD458749 OMY458749:OMZ458749 OWU458749:OWV458749 PGQ458749:PGR458749 PQM458749:PQN458749 QAI458749:QAJ458749 QKE458749:QKF458749 QUA458749:QUB458749 RDW458749:RDX458749 RNS458749:RNT458749 RXO458749:RXP458749 SHK458749:SHL458749 SRG458749:SRH458749 TBC458749:TBD458749 TKY458749:TKZ458749 TUU458749:TUV458749 UEQ458749:UER458749 UOM458749:UON458749 UYI458749:UYJ458749 VIE458749:VIF458749 VSA458749:VSB458749 WBW458749:WBX458749 WLS458749:WLT458749 WVO458749:WVP458749 H589821 JC524285:JD524285 SY524285:SZ524285 ACU524285:ACV524285 AMQ524285:AMR524285 AWM524285:AWN524285 BGI524285:BGJ524285 BQE524285:BQF524285 CAA524285:CAB524285 CJW524285:CJX524285 CTS524285:CTT524285 DDO524285:DDP524285 DNK524285:DNL524285 DXG524285:DXH524285 EHC524285:EHD524285 EQY524285:EQZ524285 FAU524285:FAV524285 FKQ524285:FKR524285 FUM524285:FUN524285 GEI524285:GEJ524285 GOE524285:GOF524285 GYA524285:GYB524285 HHW524285:HHX524285 HRS524285:HRT524285 IBO524285:IBP524285 ILK524285:ILL524285 IVG524285:IVH524285 JFC524285:JFD524285 JOY524285:JOZ524285 JYU524285:JYV524285 KIQ524285:KIR524285 KSM524285:KSN524285 LCI524285:LCJ524285 LME524285:LMF524285 LWA524285:LWB524285 MFW524285:MFX524285 MPS524285:MPT524285 MZO524285:MZP524285 NJK524285:NJL524285 NTG524285:NTH524285 ODC524285:ODD524285 OMY524285:OMZ524285 OWU524285:OWV524285 PGQ524285:PGR524285 PQM524285:PQN524285 QAI524285:QAJ524285 QKE524285:QKF524285 QUA524285:QUB524285 RDW524285:RDX524285 RNS524285:RNT524285 RXO524285:RXP524285 SHK524285:SHL524285 SRG524285:SRH524285 TBC524285:TBD524285 TKY524285:TKZ524285 TUU524285:TUV524285 UEQ524285:UER524285 UOM524285:UON524285 UYI524285:UYJ524285 VIE524285:VIF524285 VSA524285:VSB524285 WBW524285:WBX524285 WLS524285:WLT524285 WVO524285:WVP524285 H655357 JC589821:JD589821 SY589821:SZ589821 ACU589821:ACV589821 AMQ589821:AMR589821 AWM589821:AWN589821 BGI589821:BGJ589821 BQE589821:BQF589821 CAA589821:CAB589821 CJW589821:CJX589821 CTS589821:CTT589821 DDO589821:DDP589821 DNK589821:DNL589821 DXG589821:DXH589821 EHC589821:EHD589821 EQY589821:EQZ589821 FAU589821:FAV589821 FKQ589821:FKR589821 FUM589821:FUN589821 GEI589821:GEJ589821 GOE589821:GOF589821 GYA589821:GYB589821 HHW589821:HHX589821 HRS589821:HRT589821 IBO589821:IBP589821 ILK589821:ILL589821 IVG589821:IVH589821 JFC589821:JFD589821 JOY589821:JOZ589821 JYU589821:JYV589821 KIQ589821:KIR589821 KSM589821:KSN589821 LCI589821:LCJ589821 LME589821:LMF589821 LWA589821:LWB589821 MFW589821:MFX589821 MPS589821:MPT589821 MZO589821:MZP589821 NJK589821:NJL589821 NTG589821:NTH589821 ODC589821:ODD589821 OMY589821:OMZ589821 OWU589821:OWV589821 PGQ589821:PGR589821 PQM589821:PQN589821 QAI589821:QAJ589821 QKE589821:QKF589821 QUA589821:QUB589821 RDW589821:RDX589821 RNS589821:RNT589821 RXO589821:RXP589821 SHK589821:SHL589821 SRG589821:SRH589821 TBC589821:TBD589821 TKY589821:TKZ589821 TUU589821:TUV589821 UEQ589821:UER589821 UOM589821:UON589821 UYI589821:UYJ589821 VIE589821:VIF589821 VSA589821:VSB589821 WBW589821:WBX589821 WLS589821:WLT589821 WVO589821:WVP589821 H720893 JC655357:JD655357 SY655357:SZ655357 ACU655357:ACV655357 AMQ655357:AMR655357 AWM655357:AWN655357 BGI655357:BGJ655357 BQE655357:BQF655357 CAA655357:CAB655357 CJW655357:CJX655357 CTS655357:CTT655357 DDO655357:DDP655357 DNK655357:DNL655357 DXG655357:DXH655357 EHC655357:EHD655357 EQY655357:EQZ655357 FAU655357:FAV655357 FKQ655357:FKR655357 FUM655357:FUN655357 GEI655357:GEJ655357 GOE655357:GOF655357 GYA655357:GYB655357 HHW655357:HHX655357 HRS655357:HRT655357 IBO655357:IBP655357 ILK655357:ILL655357 IVG655357:IVH655357 JFC655357:JFD655357 JOY655357:JOZ655357 JYU655357:JYV655357 KIQ655357:KIR655357 KSM655357:KSN655357 LCI655357:LCJ655357 LME655357:LMF655357 LWA655357:LWB655357 MFW655357:MFX655357 MPS655357:MPT655357 MZO655357:MZP655357 NJK655357:NJL655357 NTG655357:NTH655357 ODC655357:ODD655357 OMY655357:OMZ655357 OWU655357:OWV655357 PGQ655357:PGR655357 PQM655357:PQN655357 QAI655357:QAJ655357 QKE655357:QKF655357 QUA655357:QUB655357 RDW655357:RDX655357 RNS655357:RNT655357 RXO655357:RXP655357 SHK655357:SHL655357 SRG655357:SRH655357 TBC655357:TBD655357 TKY655357:TKZ655357 TUU655357:TUV655357 UEQ655357:UER655357 UOM655357:UON655357 UYI655357:UYJ655357 VIE655357:VIF655357 VSA655357:VSB655357 WBW655357:WBX655357 WLS655357:WLT655357 WVO655357:WVP655357 H786429 JC720893:JD720893 SY720893:SZ720893 ACU720893:ACV720893 AMQ720893:AMR720893 AWM720893:AWN720893 BGI720893:BGJ720893 BQE720893:BQF720893 CAA720893:CAB720893 CJW720893:CJX720893 CTS720893:CTT720893 DDO720893:DDP720893 DNK720893:DNL720893 DXG720893:DXH720893 EHC720893:EHD720893 EQY720893:EQZ720893 FAU720893:FAV720893 FKQ720893:FKR720893 FUM720893:FUN720893 GEI720893:GEJ720893 GOE720893:GOF720893 GYA720893:GYB720893 HHW720893:HHX720893 HRS720893:HRT720893 IBO720893:IBP720893 ILK720893:ILL720893 IVG720893:IVH720893 JFC720893:JFD720893 JOY720893:JOZ720893 JYU720893:JYV720893 KIQ720893:KIR720893 KSM720893:KSN720893 LCI720893:LCJ720893 LME720893:LMF720893 LWA720893:LWB720893 MFW720893:MFX720893 MPS720893:MPT720893 MZO720893:MZP720893 NJK720893:NJL720893 NTG720893:NTH720893 ODC720893:ODD720893 OMY720893:OMZ720893 OWU720893:OWV720893 PGQ720893:PGR720893 PQM720893:PQN720893 QAI720893:QAJ720893 QKE720893:QKF720893 QUA720893:QUB720893 RDW720893:RDX720893 RNS720893:RNT720893 RXO720893:RXP720893 SHK720893:SHL720893 SRG720893:SRH720893 TBC720893:TBD720893 TKY720893:TKZ720893 TUU720893:TUV720893 UEQ720893:UER720893 UOM720893:UON720893 UYI720893:UYJ720893 VIE720893:VIF720893 VSA720893:VSB720893 WBW720893:WBX720893 WLS720893:WLT720893 WVO720893:WVP720893 H851965 JC786429:JD786429 SY786429:SZ786429 ACU786429:ACV786429 AMQ786429:AMR786429 AWM786429:AWN786429 BGI786429:BGJ786429 BQE786429:BQF786429 CAA786429:CAB786429 CJW786429:CJX786429 CTS786429:CTT786429 DDO786429:DDP786429 DNK786429:DNL786429 DXG786429:DXH786429 EHC786429:EHD786429 EQY786429:EQZ786429 FAU786429:FAV786429 FKQ786429:FKR786429 FUM786429:FUN786429 GEI786429:GEJ786429 GOE786429:GOF786429 GYA786429:GYB786429 HHW786429:HHX786429 HRS786429:HRT786429 IBO786429:IBP786429 ILK786429:ILL786429 IVG786429:IVH786429 JFC786429:JFD786429 JOY786429:JOZ786429 JYU786429:JYV786429 KIQ786429:KIR786429 KSM786429:KSN786429 LCI786429:LCJ786429 LME786429:LMF786429 LWA786429:LWB786429 MFW786429:MFX786429 MPS786429:MPT786429 MZO786429:MZP786429 NJK786429:NJL786429 NTG786429:NTH786429 ODC786429:ODD786429 OMY786429:OMZ786429 OWU786429:OWV786429 PGQ786429:PGR786429 PQM786429:PQN786429 QAI786429:QAJ786429 QKE786429:QKF786429 QUA786429:QUB786429 RDW786429:RDX786429 RNS786429:RNT786429 RXO786429:RXP786429 SHK786429:SHL786429 SRG786429:SRH786429 TBC786429:TBD786429 TKY786429:TKZ786429 TUU786429:TUV786429 UEQ786429:UER786429 UOM786429:UON786429 UYI786429:UYJ786429 VIE786429:VIF786429 VSA786429:VSB786429 WBW786429:WBX786429 WLS786429:WLT786429 WVO786429:WVP786429 H917501 JC851965:JD851965 SY851965:SZ851965 ACU851965:ACV851965 AMQ851965:AMR851965 AWM851965:AWN851965 BGI851965:BGJ851965 BQE851965:BQF851965 CAA851965:CAB851965 CJW851965:CJX851965 CTS851965:CTT851965 DDO851965:DDP851965 DNK851965:DNL851965 DXG851965:DXH851965 EHC851965:EHD851965 EQY851965:EQZ851965 FAU851965:FAV851965 FKQ851965:FKR851965 FUM851965:FUN851965 GEI851965:GEJ851965 GOE851965:GOF851965 GYA851965:GYB851965 HHW851965:HHX851965 HRS851965:HRT851965 IBO851965:IBP851965 ILK851965:ILL851965 IVG851965:IVH851965 JFC851965:JFD851965 JOY851965:JOZ851965 JYU851965:JYV851965 KIQ851965:KIR851965 KSM851965:KSN851965 LCI851965:LCJ851965 LME851965:LMF851965 LWA851965:LWB851965 MFW851965:MFX851965 MPS851965:MPT851965 MZO851965:MZP851965 NJK851965:NJL851965 NTG851965:NTH851965 ODC851965:ODD851965 OMY851965:OMZ851965 OWU851965:OWV851965 PGQ851965:PGR851965 PQM851965:PQN851965 QAI851965:QAJ851965 QKE851965:QKF851965 QUA851965:QUB851965 RDW851965:RDX851965 RNS851965:RNT851965 RXO851965:RXP851965 SHK851965:SHL851965 SRG851965:SRH851965 TBC851965:TBD851965 TKY851965:TKZ851965 TUU851965:TUV851965 UEQ851965:UER851965 UOM851965:UON851965 UYI851965:UYJ851965 VIE851965:VIF851965 VSA851965:VSB851965 WBW851965:WBX851965 WLS851965:WLT851965 WVO851965:WVP851965 H983037 JC917501:JD917501 SY917501:SZ917501 ACU917501:ACV917501 AMQ917501:AMR917501 AWM917501:AWN917501 BGI917501:BGJ917501 BQE917501:BQF917501 CAA917501:CAB917501 CJW917501:CJX917501 CTS917501:CTT917501 DDO917501:DDP917501 DNK917501:DNL917501 DXG917501:DXH917501 EHC917501:EHD917501 EQY917501:EQZ917501 FAU917501:FAV917501 FKQ917501:FKR917501 FUM917501:FUN917501 GEI917501:GEJ917501 GOE917501:GOF917501 GYA917501:GYB917501 HHW917501:HHX917501 HRS917501:HRT917501 IBO917501:IBP917501 ILK917501:ILL917501 IVG917501:IVH917501 JFC917501:JFD917501 JOY917501:JOZ917501 JYU917501:JYV917501 KIQ917501:KIR917501 KSM917501:KSN917501 LCI917501:LCJ917501 LME917501:LMF917501 LWA917501:LWB917501 MFW917501:MFX917501 MPS917501:MPT917501 MZO917501:MZP917501 NJK917501:NJL917501 NTG917501:NTH917501 ODC917501:ODD917501 OMY917501:OMZ917501 OWU917501:OWV917501 PGQ917501:PGR917501 PQM917501:PQN917501 QAI917501:QAJ917501 QKE917501:QKF917501 QUA917501:QUB917501 RDW917501:RDX917501 RNS917501:RNT917501 RXO917501:RXP917501 SHK917501:SHL917501 SRG917501:SRH917501 TBC917501:TBD917501 TKY917501:TKZ917501 TUU917501:TUV917501 UEQ917501:UER917501 UOM917501:UON917501 UYI917501:UYJ917501 VIE917501:VIF917501 VSA917501:VSB917501 WBW917501:WBX917501 WLS917501:WLT917501 WVO917501:WVP917501 WVO983037:WVP983037 JC983037:JD983037 SY983037:SZ983037 ACU983037:ACV983037 AMQ983037:AMR983037 AWM983037:AWN983037 BGI983037:BGJ983037 BQE983037:BQF983037 CAA983037:CAB983037 CJW983037:CJX983037 CTS983037:CTT983037 DDO983037:DDP983037 DNK983037:DNL983037 DXG983037:DXH983037 EHC983037:EHD983037 EQY983037:EQZ983037 FAU983037:FAV983037 FKQ983037:FKR983037 FUM983037:FUN983037 GEI983037:GEJ983037 GOE983037:GOF983037 GYA983037:GYB983037 HHW983037:HHX983037 HRS983037:HRT983037 IBO983037:IBP983037 ILK983037:ILL983037 IVG983037:IVH983037 JFC983037:JFD983037 JOY983037:JOZ983037 JYU983037:JYV983037 KIQ983037:KIR983037 KSM983037:KSN983037 LCI983037:LCJ983037 LME983037:LMF983037 LWA983037:LWB983037 MFW983037:MFX983037 MPS983037:MPT983037 MZO983037:MZP983037 NJK983037:NJL983037 NTG983037:NTH983037 ODC983037:ODD983037 OMY983037:OMZ983037 OWU983037:OWV983037 PGQ983037:PGR983037 PQM983037:PQN983037 QAI983037:QAJ983037 QKE983037:QKF983037 QUA983037:QUB983037 RDW983037:RDX983037 RNS983037:RNT983037 RXO983037:RXP983037 SHK983037:SHL983037 SRG983037:SRH983037 TBC983037:TBD983037 TKY983037:TKZ983037 TUU983037:TUV983037 UEQ983037:UER983037 UOM983037:UON983037 UYI983037:UYJ983037 VIE983037:VIF983037 VSA983037:VSB983037 WBW983037:WBX983037 WLS983037:WLT983037 H4" xr:uid="{00000000-0002-0000-0300-000002000000}">
      <formula1>1000000</formula1>
      <formula2>1009999</formula2>
    </dataValidation>
    <dataValidation type="list" allowBlank="1" showInputMessage="1" showErrorMessage="1" prompt="Escolha a Competência a ser desenvolvida" sqref="F983053 IY13:IZ13 SU13:SV13 ACQ13:ACR13 AMM13:AMN13 AWI13:AWJ13 BGE13:BGF13 BQA13:BQB13 BZW13:BZX13 CJS13:CJT13 CTO13:CTP13 DDK13:DDL13 DNG13:DNH13 DXC13:DXD13 EGY13:EGZ13 EQU13:EQV13 FAQ13:FAR13 FKM13:FKN13 FUI13:FUJ13 GEE13:GEF13 GOA13:GOB13 GXW13:GXX13 HHS13:HHT13 HRO13:HRP13 IBK13:IBL13 ILG13:ILH13 IVC13:IVD13 JEY13:JEZ13 JOU13:JOV13 JYQ13:JYR13 KIM13:KIN13 KSI13:KSJ13 LCE13:LCF13 LMA13:LMB13 LVW13:LVX13 MFS13:MFT13 MPO13:MPP13 MZK13:MZL13 NJG13:NJH13 NTC13:NTD13 OCY13:OCZ13 OMU13:OMV13 OWQ13:OWR13 PGM13:PGN13 PQI13:PQJ13 QAE13:QAF13 QKA13:QKB13 QTW13:QTX13 RDS13:RDT13 RNO13:RNP13 RXK13:RXL13 SHG13:SHH13 SRC13:SRD13 TAY13:TAZ13 TKU13:TKV13 TUQ13:TUR13 UEM13:UEN13 UOI13:UOJ13 UYE13:UYF13 VIA13:VIB13 VRW13:VRX13 WBS13:WBT13 WLO13:WLP13 WVK13:WVL13 C65549:D65549 IY65549:IZ65549 SU65549:SV65549 ACQ65549:ACR65549 AMM65549:AMN65549 AWI65549:AWJ65549 BGE65549:BGF65549 BQA65549:BQB65549 BZW65549:BZX65549 CJS65549:CJT65549 CTO65549:CTP65549 DDK65549:DDL65549 DNG65549:DNH65549 DXC65549:DXD65549 EGY65549:EGZ65549 EQU65549:EQV65549 FAQ65549:FAR65549 FKM65549:FKN65549 FUI65549:FUJ65549 GEE65549:GEF65549 GOA65549:GOB65549 GXW65549:GXX65549 HHS65549:HHT65549 HRO65549:HRP65549 IBK65549:IBL65549 ILG65549:ILH65549 IVC65549:IVD65549 JEY65549:JEZ65549 JOU65549:JOV65549 JYQ65549:JYR65549 KIM65549:KIN65549 KSI65549:KSJ65549 LCE65549:LCF65549 LMA65549:LMB65549 LVW65549:LVX65549 MFS65549:MFT65549 MPO65549:MPP65549 MZK65549:MZL65549 NJG65549:NJH65549 NTC65549:NTD65549 OCY65549:OCZ65549 OMU65549:OMV65549 OWQ65549:OWR65549 PGM65549:PGN65549 PQI65549:PQJ65549 QAE65549:QAF65549 QKA65549:QKB65549 QTW65549:QTX65549 RDS65549:RDT65549 RNO65549:RNP65549 RXK65549:RXL65549 SHG65549:SHH65549 SRC65549:SRD65549 TAY65549:TAZ65549 TKU65549:TKV65549 TUQ65549:TUR65549 UEM65549:UEN65549 UOI65549:UOJ65549 UYE65549:UYF65549 VIA65549:VIB65549 VRW65549:VRX65549 WBS65549:WBT65549 WLO65549:WLP65549 WVK65549:WVL65549 C131085:D131085 IY131085:IZ131085 SU131085:SV131085 ACQ131085:ACR131085 AMM131085:AMN131085 AWI131085:AWJ131085 BGE131085:BGF131085 BQA131085:BQB131085 BZW131085:BZX131085 CJS131085:CJT131085 CTO131085:CTP131085 DDK131085:DDL131085 DNG131085:DNH131085 DXC131085:DXD131085 EGY131085:EGZ131085 EQU131085:EQV131085 FAQ131085:FAR131085 FKM131085:FKN131085 FUI131085:FUJ131085 GEE131085:GEF131085 GOA131085:GOB131085 GXW131085:GXX131085 HHS131085:HHT131085 HRO131085:HRP131085 IBK131085:IBL131085 ILG131085:ILH131085 IVC131085:IVD131085 JEY131085:JEZ131085 JOU131085:JOV131085 JYQ131085:JYR131085 KIM131085:KIN131085 KSI131085:KSJ131085 LCE131085:LCF131085 LMA131085:LMB131085 LVW131085:LVX131085 MFS131085:MFT131085 MPO131085:MPP131085 MZK131085:MZL131085 NJG131085:NJH131085 NTC131085:NTD131085 OCY131085:OCZ131085 OMU131085:OMV131085 OWQ131085:OWR131085 PGM131085:PGN131085 PQI131085:PQJ131085 QAE131085:QAF131085 QKA131085:QKB131085 QTW131085:QTX131085 RDS131085:RDT131085 RNO131085:RNP131085 RXK131085:RXL131085 SHG131085:SHH131085 SRC131085:SRD131085 TAY131085:TAZ131085 TKU131085:TKV131085 TUQ131085:TUR131085 UEM131085:UEN131085 UOI131085:UOJ131085 UYE131085:UYF131085 VIA131085:VIB131085 VRW131085:VRX131085 WBS131085:WBT131085 WLO131085:WLP131085 WVK131085:WVL131085 C196621:D196621 IY196621:IZ196621 SU196621:SV196621 ACQ196621:ACR196621 AMM196621:AMN196621 AWI196621:AWJ196621 BGE196621:BGF196621 BQA196621:BQB196621 BZW196621:BZX196621 CJS196621:CJT196621 CTO196621:CTP196621 DDK196621:DDL196621 DNG196621:DNH196621 DXC196621:DXD196621 EGY196621:EGZ196621 EQU196621:EQV196621 FAQ196621:FAR196621 FKM196621:FKN196621 FUI196621:FUJ196621 GEE196621:GEF196621 GOA196621:GOB196621 GXW196621:GXX196621 HHS196621:HHT196621 HRO196621:HRP196621 IBK196621:IBL196621 ILG196621:ILH196621 IVC196621:IVD196621 JEY196621:JEZ196621 JOU196621:JOV196621 JYQ196621:JYR196621 KIM196621:KIN196621 KSI196621:KSJ196621 LCE196621:LCF196621 LMA196621:LMB196621 LVW196621:LVX196621 MFS196621:MFT196621 MPO196621:MPP196621 MZK196621:MZL196621 NJG196621:NJH196621 NTC196621:NTD196621 OCY196621:OCZ196621 OMU196621:OMV196621 OWQ196621:OWR196621 PGM196621:PGN196621 PQI196621:PQJ196621 QAE196621:QAF196621 QKA196621:QKB196621 QTW196621:QTX196621 RDS196621:RDT196621 RNO196621:RNP196621 RXK196621:RXL196621 SHG196621:SHH196621 SRC196621:SRD196621 TAY196621:TAZ196621 TKU196621:TKV196621 TUQ196621:TUR196621 UEM196621:UEN196621 UOI196621:UOJ196621 UYE196621:UYF196621 VIA196621:VIB196621 VRW196621:VRX196621 WBS196621:WBT196621 WLO196621:WLP196621 WVK196621:WVL196621 C262157:D262157 IY262157:IZ262157 SU262157:SV262157 ACQ262157:ACR262157 AMM262157:AMN262157 AWI262157:AWJ262157 BGE262157:BGF262157 BQA262157:BQB262157 BZW262157:BZX262157 CJS262157:CJT262157 CTO262157:CTP262157 DDK262157:DDL262157 DNG262157:DNH262157 DXC262157:DXD262157 EGY262157:EGZ262157 EQU262157:EQV262157 FAQ262157:FAR262157 FKM262157:FKN262157 FUI262157:FUJ262157 GEE262157:GEF262157 GOA262157:GOB262157 GXW262157:GXX262157 HHS262157:HHT262157 HRO262157:HRP262157 IBK262157:IBL262157 ILG262157:ILH262157 IVC262157:IVD262157 JEY262157:JEZ262157 JOU262157:JOV262157 JYQ262157:JYR262157 KIM262157:KIN262157 KSI262157:KSJ262157 LCE262157:LCF262157 LMA262157:LMB262157 LVW262157:LVX262157 MFS262157:MFT262157 MPO262157:MPP262157 MZK262157:MZL262157 NJG262157:NJH262157 NTC262157:NTD262157 OCY262157:OCZ262157 OMU262157:OMV262157 OWQ262157:OWR262157 PGM262157:PGN262157 PQI262157:PQJ262157 QAE262157:QAF262157 QKA262157:QKB262157 QTW262157:QTX262157 RDS262157:RDT262157 RNO262157:RNP262157 RXK262157:RXL262157 SHG262157:SHH262157 SRC262157:SRD262157 TAY262157:TAZ262157 TKU262157:TKV262157 TUQ262157:TUR262157 UEM262157:UEN262157 UOI262157:UOJ262157 UYE262157:UYF262157 VIA262157:VIB262157 VRW262157:VRX262157 WBS262157:WBT262157 WLO262157:WLP262157 WVK262157:WVL262157 C327693:D327693 IY327693:IZ327693 SU327693:SV327693 ACQ327693:ACR327693 AMM327693:AMN327693 AWI327693:AWJ327693 BGE327693:BGF327693 BQA327693:BQB327693 BZW327693:BZX327693 CJS327693:CJT327693 CTO327693:CTP327693 DDK327693:DDL327693 DNG327693:DNH327693 DXC327693:DXD327693 EGY327693:EGZ327693 EQU327693:EQV327693 FAQ327693:FAR327693 FKM327693:FKN327693 FUI327693:FUJ327693 GEE327693:GEF327693 GOA327693:GOB327693 GXW327693:GXX327693 HHS327693:HHT327693 HRO327693:HRP327693 IBK327693:IBL327693 ILG327693:ILH327693 IVC327693:IVD327693 JEY327693:JEZ327693 JOU327693:JOV327693 JYQ327693:JYR327693 KIM327693:KIN327693 KSI327693:KSJ327693 LCE327693:LCF327693 LMA327693:LMB327693 LVW327693:LVX327693 MFS327693:MFT327693 MPO327693:MPP327693 MZK327693:MZL327693 NJG327693:NJH327693 NTC327693:NTD327693 OCY327693:OCZ327693 OMU327693:OMV327693 OWQ327693:OWR327693 PGM327693:PGN327693 PQI327693:PQJ327693 QAE327693:QAF327693 QKA327693:QKB327693 QTW327693:QTX327693 RDS327693:RDT327693 RNO327693:RNP327693 RXK327693:RXL327693 SHG327693:SHH327693 SRC327693:SRD327693 TAY327693:TAZ327693 TKU327693:TKV327693 TUQ327693:TUR327693 UEM327693:UEN327693 UOI327693:UOJ327693 UYE327693:UYF327693 VIA327693:VIB327693 VRW327693:VRX327693 WBS327693:WBT327693 WLO327693:WLP327693 WVK327693:WVL327693 C393229:D393229 IY393229:IZ393229 SU393229:SV393229 ACQ393229:ACR393229 AMM393229:AMN393229 AWI393229:AWJ393229 BGE393229:BGF393229 BQA393229:BQB393229 BZW393229:BZX393229 CJS393229:CJT393229 CTO393229:CTP393229 DDK393229:DDL393229 DNG393229:DNH393229 DXC393229:DXD393229 EGY393229:EGZ393229 EQU393229:EQV393229 FAQ393229:FAR393229 FKM393229:FKN393229 FUI393229:FUJ393229 GEE393229:GEF393229 GOA393229:GOB393229 GXW393229:GXX393229 HHS393229:HHT393229 HRO393229:HRP393229 IBK393229:IBL393229 ILG393229:ILH393229 IVC393229:IVD393229 JEY393229:JEZ393229 JOU393229:JOV393229 JYQ393229:JYR393229 KIM393229:KIN393229 KSI393229:KSJ393229 LCE393229:LCF393229 LMA393229:LMB393229 LVW393229:LVX393229 MFS393229:MFT393229 MPO393229:MPP393229 MZK393229:MZL393229 NJG393229:NJH393229 NTC393229:NTD393229 OCY393229:OCZ393229 OMU393229:OMV393229 OWQ393229:OWR393229 PGM393229:PGN393229 PQI393229:PQJ393229 QAE393229:QAF393229 QKA393229:QKB393229 QTW393229:QTX393229 RDS393229:RDT393229 RNO393229:RNP393229 RXK393229:RXL393229 SHG393229:SHH393229 SRC393229:SRD393229 TAY393229:TAZ393229 TKU393229:TKV393229 TUQ393229:TUR393229 UEM393229:UEN393229 UOI393229:UOJ393229 UYE393229:UYF393229 VIA393229:VIB393229 VRW393229:VRX393229 WBS393229:WBT393229 WLO393229:WLP393229 WVK393229:WVL393229 C458765:D458765 IY458765:IZ458765 SU458765:SV458765 ACQ458765:ACR458765 AMM458765:AMN458765 AWI458765:AWJ458765 BGE458765:BGF458765 BQA458765:BQB458765 BZW458765:BZX458765 CJS458765:CJT458765 CTO458765:CTP458765 DDK458765:DDL458765 DNG458765:DNH458765 DXC458765:DXD458765 EGY458765:EGZ458765 EQU458765:EQV458765 FAQ458765:FAR458765 FKM458765:FKN458765 FUI458765:FUJ458765 GEE458765:GEF458765 GOA458765:GOB458765 GXW458765:GXX458765 HHS458765:HHT458765 HRO458765:HRP458765 IBK458765:IBL458765 ILG458765:ILH458765 IVC458765:IVD458765 JEY458765:JEZ458765 JOU458765:JOV458765 JYQ458765:JYR458765 KIM458765:KIN458765 KSI458765:KSJ458765 LCE458765:LCF458765 LMA458765:LMB458765 LVW458765:LVX458765 MFS458765:MFT458765 MPO458765:MPP458765 MZK458765:MZL458765 NJG458765:NJH458765 NTC458765:NTD458765 OCY458765:OCZ458765 OMU458765:OMV458765 OWQ458765:OWR458765 PGM458765:PGN458765 PQI458765:PQJ458765 QAE458765:QAF458765 QKA458765:QKB458765 QTW458765:QTX458765 RDS458765:RDT458765 RNO458765:RNP458765 RXK458765:RXL458765 SHG458765:SHH458765 SRC458765:SRD458765 TAY458765:TAZ458765 TKU458765:TKV458765 TUQ458765:TUR458765 UEM458765:UEN458765 UOI458765:UOJ458765 UYE458765:UYF458765 VIA458765:VIB458765 VRW458765:VRX458765 WBS458765:WBT458765 WLO458765:WLP458765 WVK458765:WVL458765 C524301:D524301 IY524301:IZ524301 SU524301:SV524301 ACQ524301:ACR524301 AMM524301:AMN524301 AWI524301:AWJ524301 BGE524301:BGF524301 BQA524301:BQB524301 BZW524301:BZX524301 CJS524301:CJT524301 CTO524301:CTP524301 DDK524301:DDL524301 DNG524301:DNH524301 DXC524301:DXD524301 EGY524301:EGZ524301 EQU524301:EQV524301 FAQ524301:FAR524301 FKM524301:FKN524301 FUI524301:FUJ524301 GEE524301:GEF524301 GOA524301:GOB524301 GXW524301:GXX524301 HHS524301:HHT524301 HRO524301:HRP524301 IBK524301:IBL524301 ILG524301:ILH524301 IVC524301:IVD524301 JEY524301:JEZ524301 JOU524301:JOV524301 JYQ524301:JYR524301 KIM524301:KIN524301 KSI524301:KSJ524301 LCE524301:LCF524301 LMA524301:LMB524301 LVW524301:LVX524301 MFS524301:MFT524301 MPO524301:MPP524301 MZK524301:MZL524301 NJG524301:NJH524301 NTC524301:NTD524301 OCY524301:OCZ524301 OMU524301:OMV524301 OWQ524301:OWR524301 PGM524301:PGN524301 PQI524301:PQJ524301 QAE524301:QAF524301 QKA524301:QKB524301 QTW524301:QTX524301 RDS524301:RDT524301 RNO524301:RNP524301 RXK524301:RXL524301 SHG524301:SHH524301 SRC524301:SRD524301 TAY524301:TAZ524301 TKU524301:TKV524301 TUQ524301:TUR524301 UEM524301:UEN524301 UOI524301:UOJ524301 UYE524301:UYF524301 VIA524301:VIB524301 VRW524301:VRX524301 WBS524301:WBT524301 WLO524301:WLP524301 WVK524301:WVL524301 C589837:D589837 IY589837:IZ589837 SU589837:SV589837 ACQ589837:ACR589837 AMM589837:AMN589837 AWI589837:AWJ589837 BGE589837:BGF589837 BQA589837:BQB589837 BZW589837:BZX589837 CJS589837:CJT589837 CTO589837:CTP589837 DDK589837:DDL589837 DNG589837:DNH589837 DXC589837:DXD589837 EGY589837:EGZ589837 EQU589837:EQV589837 FAQ589837:FAR589837 FKM589837:FKN589837 FUI589837:FUJ589837 GEE589837:GEF589837 GOA589837:GOB589837 GXW589837:GXX589837 HHS589837:HHT589837 HRO589837:HRP589837 IBK589837:IBL589837 ILG589837:ILH589837 IVC589837:IVD589837 JEY589837:JEZ589837 JOU589837:JOV589837 JYQ589837:JYR589837 KIM589837:KIN589837 KSI589837:KSJ589837 LCE589837:LCF589837 LMA589837:LMB589837 LVW589837:LVX589837 MFS589837:MFT589837 MPO589837:MPP589837 MZK589837:MZL589837 NJG589837:NJH589837 NTC589837:NTD589837 OCY589837:OCZ589837 OMU589837:OMV589837 OWQ589837:OWR589837 PGM589837:PGN589837 PQI589837:PQJ589837 QAE589837:QAF589837 QKA589837:QKB589837 QTW589837:QTX589837 RDS589837:RDT589837 RNO589837:RNP589837 RXK589837:RXL589837 SHG589837:SHH589837 SRC589837:SRD589837 TAY589837:TAZ589837 TKU589837:TKV589837 TUQ589837:TUR589837 UEM589837:UEN589837 UOI589837:UOJ589837 UYE589837:UYF589837 VIA589837:VIB589837 VRW589837:VRX589837 WBS589837:WBT589837 WLO589837:WLP589837 WVK589837:WVL589837 C655373:D655373 IY655373:IZ655373 SU655373:SV655373 ACQ655373:ACR655373 AMM655373:AMN655373 AWI655373:AWJ655373 BGE655373:BGF655373 BQA655373:BQB655373 BZW655373:BZX655373 CJS655373:CJT655373 CTO655373:CTP655373 DDK655373:DDL655373 DNG655373:DNH655373 DXC655373:DXD655373 EGY655373:EGZ655373 EQU655373:EQV655373 FAQ655373:FAR655373 FKM655373:FKN655373 FUI655373:FUJ655373 GEE655373:GEF655373 GOA655373:GOB655373 GXW655373:GXX655373 HHS655373:HHT655373 HRO655373:HRP655373 IBK655373:IBL655373 ILG655373:ILH655373 IVC655373:IVD655373 JEY655373:JEZ655373 JOU655373:JOV655373 JYQ655373:JYR655373 KIM655373:KIN655373 KSI655373:KSJ655373 LCE655373:LCF655373 LMA655373:LMB655373 LVW655373:LVX655373 MFS655373:MFT655373 MPO655373:MPP655373 MZK655373:MZL655373 NJG655373:NJH655373 NTC655373:NTD655373 OCY655373:OCZ655373 OMU655373:OMV655373 OWQ655373:OWR655373 PGM655373:PGN655373 PQI655373:PQJ655373 QAE655373:QAF655373 QKA655373:QKB655373 QTW655373:QTX655373 RDS655373:RDT655373 RNO655373:RNP655373 RXK655373:RXL655373 SHG655373:SHH655373 SRC655373:SRD655373 TAY655373:TAZ655373 TKU655373:TKV655373 TUQ655373:TUR655373 UEM655373:UEN655373 UOI655373:UOJ655373 UYE655373:UYF655373 VIA655373:VIB655373 VRW655373:VRX655373 WBS655373:WBT655373 WLO655373:WLP655373 WVK655373:WVL655373 C720909:D720909 IY720909:IZ720909 SU720909:SV720909 ACQ720909:ACR720909 AMM720909:AMN720909 AWI720909:AWJ720909 BGE720909:BGF720909 BQA720909:BQB720909 BZW720909:BZX720909 CJS720909:CJT720909 CTO720909:CTP720909 DDK720909:DDL720909 DNG720909:DNH720909 DXC720909:DXD720909 EGY720909:EGZ720909 EQU720909:EQV720909 FAQ720909:FAR720909 FKM720909:FKN720909 FUI720909:FUJ720909 GEE720909:GEF720909 GOA720909:GOB720909 GXW720909:GXX720909 HHS720909:HHT720909 HRO720909:HRP720909 IBK720909:IBL720909 ILG720909:ILH720909 IVC720909:IVD720909 JEY720909:JEZ720909 JOU720909:JOV720909 JYQ720909:JYR720909 KIM720909:KIN720909 KSI720909:KSJ720909 LCE720909:LCF720909 LMA720909:LMB720909 LVW720909:LVX720909 MFS720909:MFT720909 MPO720909:MPP720909 MZK720909:MZL720909 NJG720909:NJH720909 NTC720909:NTD720909 OCY720909:OCZ720909 OMU720909:OMV720909 OWQ720909:OWR720909 PGM720909:PGN720909 PQI720909:PQJ720909 QAE720909:QAF720909 QKA720909:QKB720909 QTW720909:QTX720909 RDS720909:RDT720909 RNO720909:RNP720909 RXK720909:RXL720909 SHG720909:SHH720909 SRC720909:SRD720909 TAY720909:TAZ720909 TKU720909:TKV720909 TUQ720909:TUR720909 UEM720909:UEN720909 UOI720909:UOJ720909 UYE720909:UYF720909 VIA720909:VIB720909 VRW720909:VRX720909 WBS720909:WBT720909 WLO720909:WLP720909 WVK720909:WVL720909 C786445:D786445 IY786445:IZ786445 SU786445:SV786445 ACQ786445:ACR786445 AMM786445:AMN786445 AWI786445:AWJ786445 BGE786445:BGF786445 BQA786445:BQB786445 BZW786445:BZX786445 CJS786445:CJT786445 CTO786445:CTP786445 DDK786445:DDL786445 DNG786445:DNH786445 DXC786445:DXD786445 EGY786445:EGZ786445 EQU786445:EQV786445 FAQ786445:FAR786445 FKM786445:FKN786445 FUI786445:FUJ786445 GEE786445:GEF786445 GOA786445:GOB786445 GXW786445:GXX786445 HHS786445:HHT786445 HRO786445:HRP786445 IBK786445:IBL786445 ILG786445:ILH786445 IVC786445:IVD786445 JEY786445:JEZ786445 JOU786445:JOV786445 JYQ786445:JYR786445 KIM786445:KIN786445 KSI786445:KSJ786445 LCE786445:LCF786445 LMA786445:LMB786445 LVW786445:LVX786445 MFS786445:MFT786445 MPO786445:MPP786445 MZK786445:MZL786445 NJG786445:NJH786445 NTC786445:NTD786445 OCY786445:OCZ786445 OMU786445:OMV786445 OWQ786445:OWR786445 PGM786445:PGN786445 PQI786445:PQJ786445 QAE786445:QAF786445 QKA786445:QKB786445 QTW786445:QTX786445 RDS786445:RDT786445 RNO786445:RNP786445 RXK786445:RXL786445 SHG786445:SHH786445 SRC786445:SRD786445 TAY786445:TAZ786445 TKU786445:TKV786445 TUQ786445:TUR786445 UEM786445:UEN786445 UOI786445:UOJ786445 UYE786445:UYF786445 VIA786445:VIB786445 VRW786445:VRX786445 WBS786445:WBT786445 WLO786445:WLP786445 WVK786445:WVL786445 C851981:D851981 IY851981:IZ851981 SU851981:SV851981 ACQ851981:ACR851981 AMM851981:AMN851981 AWI851981:AWJ851981 BGE851981:BGF851981 BQA851981:BQB851981 BZW851981:BZX851981 CJS851981:CJT851981 CTO851981:CTP851981 DDK851981:DDL851981 DNG851981:DNH851981 DXC851981:DXD851981 EGY851981:EGZ851981 EQU851981:EQV851981 FAQ851981:FAR851981 FKM851981:FKN851981 FUI851981:FUJ851981 GEE851981:GEF851981 GOA851981:GOB851981 GXW851981:GXX851981 HHS851981:HHT851981 HRO851981:HRP851981 IBK851981:IBL851981 ILG851981:ILH851981 IVC851981:IVD851981 JEY851981:JEZ851981 JOU851981:JOV851981 JYQ851981:JYR851981 KIM851981:KIN851981 KSI851981:KSJ851981 LCE851981:LCF851981 LMA851981:LMB851981 LVW851981:LVX851981 MFS851981:MFT851981 MPO851981:MPP851981 MZK851981:MZL851981 NJG851981:NJH851981 NTC851981:NTD851981 OCY851981:OCZ851981 OMU851981:OMV851981 OWQ851981:OWR851981 PGM851981:PGN851981 PQI851981:PQJ851981 QAE851981:QAF851981 QKA851981:QKB851981 QTW851981:QTX851981 RDS851981:RDT851981 RNO851981:RNP851981 RXK851981:RXL851981 SHG851981:SHH851981 SRC851981:SRD851981 TAY851981:TAZ851981 TKU851981:TKV851981 TUQ851981:TUR851981 UEM851981:UEN851981 UOI851981:UOJ851981 UYE851981:UYF851981 VIA851981:VIB851981 VRW851981:VRX851981 WBS851981:WBT851981 WLO851981:WLP851981 WVK851981:WVL851981 C917517:D917517 IY917517:IZ917517 SU917517:SV917517 ACQ917517:ACR917517 AMM917517:AMN917517 AWI917517:AWJ917517 BGE917517:BGF917517 BQA917517:BQB917517 BZW917517:BZX917517 CJS917517:CJT917517 CTO917517:CTP917517 DDK917517:DDL917517 DNG917517:DNH917517 DXC917517:DXD917517 EGY917517:EGZ917517 EQU917517:EQV917517 FAQ917517:FAR917517 FKM917517:FKN917517 FUI917517:FUJ917517 GEE917517:GEF917517 GOA917517:GOB917517 GXW917517:GXX917517 HHS917517:HHT917517 HRO917517:HRP917517 IBK917517:IBL917517 ILG917517:ILH917517 IVC917517:IVD917517 JEY917517:JEZ917517 JOU917517:JOV917517 JYQ917517:JYR917517 KIM917517:KIN917517 KSI917517:KSJ917517 LCE917517:LCF917517 LMA917517:LMB917517 LVW917517:LVX917517 MFS917517:MFT917517 MPO917517:MPP917517 MZK917517:MZL917517 NJG917517:NJH917517 NTC917517:NTD917517 OCY917517:OCZ917517 OMU917517:OMV917517 OWQ917517:OWR917517 PGM917517:PGN917517 PQI917517:PQJ917517 QAE917517:QAF917517 QKA917517:QKB917517 QTW917517:QTX917517 RDS917517:RDT917517 RNO917517:RNP917517 RXK917517:RXL917517 SHG917517:SHH917517 SRC917517:SRD917517 TAY917517:TAZ917517 TKU917517:TKV917517 TUQ917517:TUR917517 UEM917517:UEN917517 UOI917517:UOJ917517 UYE917517:UYF917517 VIA917517:VIB917517 VRW917517:VRX917517 WBS917517:WBT917517 WLO917517:WLP917517 WVK917517:WVL917517 C983053:D983053 IY983053:IZ983053 SU983053:SV983053 ACQ983053:ACR983053 AMM983053:AMN983053 AWI983053:AWJ983053 BGE983053:BGF983053 BQA983053:BQB983053 BZW983053:BZX983053 CJS983053:CJT983053 CTO983053:CTP983053 DDK983053:DDL983053 DNG983053:DNH983053 DXC983053:DXD983053 EGY983053:EGZ983053 EQU983053:EQV983053 FAQ983053:FAR983053 FKM983053:FKN983053 FUI983053:FUJ983053 GEE983053:GEF983053 GOA983053:GOB983053 GXW983053:GXX983053 HHS983053:HHT983053 HRO983053:HRP983053 IBK983053:IBL983053 ILG983053:ILH983053 IVC983053:IVD983053 JEY983053:JEZ983053 JOU983053:JOV983053 JYQ983053:JYR983053 KIM983053:KIN983053 KSI983053:KSJ983053 LCE983053:LCF983053 LMA983053:LMB983053 LVW983053:LVX983053 MFS983053:MFT983053 MPO983053:MPP983053 MZK983053:MZL983053 NJG983053:NJH983053 NTC983053:NTD983053 OCY983053:OCZ983053 OMU983053:OMV983053 OWQ983053:OWR983053 PGM983053:PGN983053 PQI983053:PQJ983053 QAE983053:QAF983053 QKA983053:QKB983053 QTW983053:QTX983053 RDS983053:RDT983053 RNO983053:RNP983053 RXK983053:RXL983053 SHG983053:SHH983053 SRC983053:SRD983053 TAY983053:TAZ983053 TKU983053:TKV983053 TUQ983053:TUR983053 UEM983053:UEN983053 UOI983053:UOJ983053 UYE983053:UYF983053 VIA983053:VIB983053 VRW983053:VRX983053 WBS983053:WBT983053 WLO983053:WLP983053 WVK983053:WVL983053 F13 F65549 F131085 F196621 F262157 F327693 F393229 F458765 F524301 F589837 F655373 F720909 F786445 F851981 F917517 C13:D13 IY17:IZ17 SU17:SV17 ACQ17:ACR17 AMM17:AMN17 AWI17:AWJ17 BGE17:BGF17 BQA17:BQB17 BZW17:BZX17 CJS17:CJT17 CTO17:CTP17 DDK17:DDL17 DNG17:DNH17 DXC17:DXD17 EGY17:EGZ17 EQU17:EQV17 FAQ17:FAR17 FKM17:FKN17 FUI17:FUJ17 GEE17:GEF17 GOA17:GOB17 GXW17:GXX17 HHS17:HHT17 HRO17:HRP17 IBK17:IBL17 ILG17:ILH17 IVC17:IVD17 JEY17:JEZ17 JOU17:JOV17 JYQ17:JYR17 KIM17:KIN17 KSI17:KSJ17 LCE17:LCF17 LMA17:LMB17 LVW17:LVX17 MFS17:MFT17 MPO17:MPP17 MZK17:MZL17 NJG17:NJH17 NTC17:NTD17 OCY17:OCZ17 OMU17:OMV17 OWQ17:OWR17 PGM17:PGN17 PQI17:PQJ17 QAE17:QAF17 QKA17:QKB17 QTW17:QTX17 RDS17:RDT17 RNO17:RNP17 RXK17:RXL17 SHG17:SHH17 SRC17:SRD17 TAY17:TAZ17 TKU17:TKV17 TUQ17:TUR17 UEM17:UEN17 UOI17:UOJ17 UYE17:UYF17 VIA17:VIB17 VRW17:VRX17 WBS17:WBT17 WLO17:WLP17 WVK17:WVL17 F17 C17:D17" xr:uid="{00000000-0002-0000-0300-000003000000}">
      <formula1>#REF!</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workbookViewId="0">
      <selection activeCell="D13" sqref="D13"/>
    </sheetView>
  </sheetViews>
  <sheetFormatPr defaultRowHeight="15" x14ac:dyDescent="0.25"/>
  <cols>
    <col min="1" max="5" width="26.7109375" customWidth="1"/>
  </cols>
  <sheetData>
    <row r="1" spans="1:5" ht="25.9" customHeight="1" x14ac:dyDescent="0.25">
      <c r="A1" s="69" t="s">
        <v>27</v>
      </c>
      <c r="B1" s="69" t="s">
        <v>28</v>
      </c>
      <c r="C1" s="69" t="s">
        <v>29</v>
      </c>
      <c r="D1" s="69" t="s">
        <v>64</v>
      </c>
      <c r="E1" s="69" t="s">
        <v>63</v>
      </c>
    </row>
    <row r="2" spans="1:5" ht="25.9" customHeight="1" x14ac:dyDescent="0.25">
      <c r="A2" s="51" t="s">
        <v>57</v>
      </c>
      <c r="B2" s="51" t="s">
        <v>92</v>
      </c>
      <c r="C2" s="51" t="s">
        <v>47</v>
      </c>
      <c r="D2" s="51" t="s">
        <v>36</v>
      </c>
      <c r="E2" s="51" t="s">
        <v>30</v>
      </c>
    </row>
    <row r="3" spans="1:5" ht="25.9" customHeight="1" x14ac:dyDescent="0.25">
      <c r="A3" s="51" t="s">
        <v>56</v>
      </c>
      <c r="B3" s="51" t="s">
        <v>93</v>
      </c>
      <c r="C3" s="51" t="s">
        <v>46</v>
      </c>
      <c r="D3" s="76"/>
      <c r="E3" s="51" t="s">
        <v>31</v>
      </c>
    </row>
    <row r="4" spans="1:5" ht="25.9" customHeight="1" x14ac:dyDescent="0.25">
      <c r="A4" s="51" t="s">
        <v>55</v>
      </c>
      <c r="B4" s="51" t="s">
        <v>94</v>
      </c>
      <c r="C4" s="51" t="s">
        <v>62</v>
      </c>
      <c r="D4" s="51"/>
      <c r="E4" s="51" t="s">
        <v>32</v>
      </c>
    </row>
    <row r="5" spans="1:5" ht="25.9" customHeight="1" x14ac:dyDescent="0.25">
      <c r="A5" s="51" t="s">
        <v>54</v>
      </c>
      <c r="B5" s="51" t="s">
        <v>95</v>
      </c>
      <c r="C5" s="51" t="s">
        <v>45</v>
      </c>
      <c r="D5" s="51"/>
      <c r="E5" s="51" t="s">
        <v>33</v>
      </c>
    </row>
    <row r="6" spans="1:5" ht="25.9" customHeight="1" x14ac:dyDescent="0.25">
      <c r="A6" s="51" t="s">
        <v>53</v>
      </c>
      <c r="B6" s="51" t="s">
        <v>96</v>
      </c>
      <c r="C6" s="51" t="s">
        <v>44</v>
      </c>
      <c r="D6" s="51"/>
      <c r="E6" s="51" t="s">
        <v>34</v>
      </c>
    </row>
    <row r="7" spans="1:5" ht="25.9" customHeight="1" x14ac:dyDescent="0.25">
      <c r="A7" s="51" t="s">
        <v>52</v>
      </c>
      <c r="B7" s="51" t="s">
        <v>97</v>
      </c>
      <c r="C7" s="51" t="s">
        <v>43</v>
      </c>
      <c r="D7" s="51"/>
      <c r="E7" s="51" t="s">
        <v>35</v>
      </c>
    </row>
    <row r="8" spans="1:5" ht="25.9" customHeight="1" x14ac:dyDescent="0.25">
      <c r="A8" s="51" t="s">
        <v>51</v>
      </c>
      <c r="B8" s="51" t="s">
        <v>98</v>
      </c>
      <c r="C8" s="51" t="s">
        <v>42</v>
      </c>
      <c r="D8" s="51"/>
      <c r="E8" s="24"/>
    </row>
    <row r="9" spans="1:5" ht="25.9" customHeight="1" x14ac:dyDescent="0.25">
      <c r="A9" s="51" t="s">
        <v>50</v>
      </c>
      <c r="B9" s="51" t="s">
        <v>99</v>
      </c>
      <c r="C9" s="51" t="s">
        <v>41</v>
      </c>
      <c r="D9" s="51"/>
      <c r="E9" s="24"/>
    </row>
    <row r="10" spans="1:5" ht="25.9" customHeight="1" x14ac:dyDescent="0.25">
      <c r="A10" s="51" t="s">
        <v>49</v>
      </c>
      <c r="B10" s="51" t="s">
        <v>100</v>
      </c>
      <c r="C10" s="51" t="s">
        <v>40</v>
      </c>
      <c r="D10" s="51"/>
      <c r="E10" s="24"/>
    </row>
    <row r="11" spans="1:5" ht="25.9" customHeight="1" x14ac:dyDescent="0.25">
      <c r="A11" s="24"/>
      <c r="B11" s="51" t="s">
        <v>101</v>
      </c>
      <c r="C11" s="51" t="s">
        <v>39</v>
      </c>
      <c r="D11" s="51"/>
      <c r="E11" s="24"/>
    </row>
    <row r="12" spans="1:5" ht="25.9" customHeight="1" x14ac:dyDescent="0.25">
      <c r="A12" s="24"/>
      <c r="B12" s="51" t="s">
        <v>102</v>
      </c>
      <c r="C12" s="51" t="s">
        <v>38</v>
      </c>
      <c r="D12" s="51"/>
      <c r="E12" s="24"/>
    </row>
    <row r="13" spans="1:5" ht="25.9" customHeight="1" x14ac:dyDescent="0.25">
      <c r="A13" s="24"/>
      <c r="B13" s="51" t="s">
        <v>103</v>
      </c>
      <c r="C13" s="51" t="s">
        <v>37</v>
      </c>
      <c r="D13" s="51"/>
      <c r="E13" s="24"/>
    </row>
    <row r="14" spans="1:5" ht="25.9" customHeight="1" x14ac:dyDescent="0.25">
      <c r="A14" s="24"/>
      <c r="B14" s="51" t="s">
        <v>48</v>
      </c>
      <c r="C14" s="51"/>
      <c r="D14" s="24"/>
      <c r="E14" s="24"/>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7"/>
  <sheetViews>
    <sheetView zoomScaleNormal="100" workbookViewId="0">
      <pane ySplit="1" topLeftCell="A6" activePane="bottomLeft" state="frozen"/>
      <selection pane="bottomLeft" activeCell="F44" sqref="F44"/>
    </sheetView>
  </sheetViews>
  <sheetFormatPr defaultRowHeight="15" x14ac:dyDescent="0.25"/>
  <cols>
    <col min="1" max="1" width="46.28515625" customWidth="1"/>
    <col min="2" max="12" width="11.7109375" customWidth="1"/>
    <col min="13" max="13" width="12.28515625" customWidth="1"/>
    <col min="14" max="19" width="11.7109375" customWidth="1"/>
  </cols>
  <sheetData>
    <row r="1" spans="1:24" ht="100.15" customHeight="1" x14ac:dyDescent="0.25">
      <c r="A1" s="73"/>
      <c r="B1" s="74" t="s">
        <v>78</v>
      </c>
      <c r="C1" s="74" t="s">
        <v>59</v>
      </c>
      <c r="D1" s="74" t="s">
        <v>72</v>
      </c>
      <c r="E1" s="74" t="s">
        <v>73</v>
      </c>
      <c r="F1" s="74" t="s">
        <v>105</v>
      </c>
      <c r="G1" s="74" t="s">
        <v>74</v>
      </c>
      <c r="H1" s="74" t="s">
        <v>60</v>
      </c>
      <c r="I1" s="74" t="s">
        <v>75</v>
      </c>
      <c r="J1" s="74" t="s">
        <v>76</v>
      </c>
      <c r="K1" s="74" t="s">
        <v>61</v>
      </c>
      <c r="L1" s="74" t="s">
        <v>77</v>
      </c>
      <c r="M1" s="74" t="s">
        <v>87</v>
      </c>
      <c r="N1" s="74" t="s">
        <v>89</v>
      </c>
      <c r="O1" s="74" t="s">
        <v>90</v>
      </c>
      <c r="P1" s="74" t="s">
        <v>91</v>
      </c>
      <c r="Q1" s="74" t="s">
        <v>104</v>
      </c>
      <c r="R1" s="74" t="s">
        <v>106</v>
      </c>
      <c r="S1" s="75" t="s">
        <v>107</v>
      </c>
      <c r="T1" s="99" t="s">
        <v>66</v>
      </c>
      <c r="U1" s="100"/>
      <c r="V1" s="100"/>
      <c r="W1" s="100"/>
      <c r="X1" s="101"/>
    </row>
    <row r="2" spans="1:24" ht="18.399999999999999" customHeight="1" x14ac:dyDescent="0.25">
      <c r="A2" s="60" t="s">
        <v>27</v>
      </c>
      <c r="B2" s="60"/>
      <c r="C2" s="60"/>
      <c r="D2" s="60"/>
      <c r="E2" s="60"/>
      <c r="F2" s="60"/>
      <c r="G2" s="61"/>
      <c r="H2" s="61"/>
      <c r="I2" s="61"/>
      <c r="J2" s="61"/>
      <c r="K2" s="61"/>
      <c r="L2" s="61"/>
      <c r="M2" s="61"/>
      <c r="N2" s="61"/>
      <c r="O2" s="61"/>
      <c r="P2" s="61"/>
      <c r="Q2" s="61"/>
      <c r="R2" s="61"/>
      <c r="S2" s="61"/>
    </row>
    <row r="3" spans="1:24" ht="18.399999999999999" customHeight="1" x14ac:dyDescent="0.25">
      <c r="A3" s="59" t="s">
        <v>57</v>
      </c>
      <c r="B3" s="65">
        <v>5</v>
      </c>
      <c r="C3" s="65">
        <v>5</v>
      </c>
      <c r="D3" s="65" t="s">
        <v>88</v>
      </c>
      <c r="E3" s="65">
        <v>5</v>
      </c>
      <c r="F3" s="65" t="s">
        <v>88</v>
      </c>
      <c r="G3" s="65" t="s">
        <v>88</v>
      </c>
      <c r="H3" s="65" t="s">
        <v>88</v>
      </c>
      <c r="I3" s="65" t="s">
        <v>88</v>
      </c>
      <c r="J3" s="66">
        <v>5</v>
      </c>
      <c r="K3" s="65" t="s">
        <v>88</v>
      </c>
      <c r="L3" s="66">
        <v>5</v>
      </c>
      <c r="M3" s="65" t="s">
        <v>88</v>
      </c>
      <c r="N3" s="65" t="s">
        <v>88</v>
      </c>
      <c r="O3" s="65" t="s">
        <v>88</v>
      </c>
      <c r="P3" s="65">
        <v>5</v>
      </c>
      <c r="Q3" s="65" t="s">
        <v>88</v>
      </c>
      <c r="R3" s="65" t="s">
        <v>88</v>
      </c>
      <c r="S3" s="65" t="s">
        <v>88</v>
      </c>
    </row>
    <row r="4" spans="1:24" ht="18.399999999999999" customHeight="1" x14ac:dyDescent="0.25">
      <c r="A4" s="59" t="s">
        <v>56</v>
      </c>
      <c r="B4" s="65" t="s">
        <v>88</v>
      </c>
      <c r="C4" s="65">
        <v>4</v>
      </c>
      <c r="D4" s="65">
        <v>4</v>
      </c>
      <c r="E4" s="65">
        <v>4</v>
      </c>
      <c r="F4" s="65" t="s">
        <v>88</v>
      </c>
      <c r="G4" s="65" t="s">
        <v>88</v>
      </c>
      <c r="H4" s="65" t="s">
        <v>88</v>
      </c>
      <c r="I4" s="66">
        <v>4</v>
      </c>
      <c r="J4" s="66">
        <v>4</v>
      </c>
      <c r="K4" s="65" t="s">
        <v>88</v>
      </c>
      <c r="L4" s="66">
        <v>4</v>
      </c>
      <c r="M4" s="65" t="s">
        <v>88</v>
      </c>
      <c r="N4" s="65" t="s">
        <v>88</v>
      </c>
      <c r="O4" s="65" t="s">
        <v>88</v>
      </c>
      <c r="P4" s="65" t="s">
        <v>88</v>
      </c>
      <c r="Q4" s="65" t="s">
        <v>88</v>
      </c>
      <c r="R4" s="65" t="s">
        <v>88</v>
      </c>
      <c r="S4" s="65" t="s">
        <v>88</v>
      </c>
    </row>
    <row r="5" spans="1:24" ht="18.399999999999999" customHeight="1" x14ac:dyDescent="0.25">
      <c r="A5" s="59" t="s">
        <v>55</v>
      </c>
      <c r="B5" s="65" t="s">
        <v>88</v>
      </c>
      <c r="C5" s="65" t="s">
        <v>88</v>
      </c>
      <c r="D5" s="65">
        <v>4</v>
      </c>
      <c r="E5" s="65" t="s">
        <v>88</v>
      </c>
      <c r="F5" s="65">
        <v>4</v>
      </c>
      <c r="G5" s="65" t="s">
        <v>88</v>
      </c>
      <c r="H5" s="65">
        <v>4</v>
      </c>
      <c r="I5" s="65" t="s">
        <v>88</v>
      </c>
      <c r="J5" s="65">
        <v>4</v>
      </c>
      <c r="K5" s="65" t="s">
        <v>88</v>
      </c>
      <c r="L5" s="65" t="s">
        <v>88</v>
      </c>
      <c r="M5" s="65" t="s">
        <v>88</v>
      </c>
      <c r="N5" s="65">
        <v>4</v>
      </c>
      <c r="O5" s="65" t="s">
        <v>88</v>
      </c>
      <c r="P5" s="65" t="s">
        <v>88</v>
      </c>
      <c r="Q5" s="65" t="s">
        <v>88</v>
      </c>
      <c r="R5" s="65" t="s">
        <v>88</v>
      </c>
      <c r="S5" s="65" t="s">
        <v>88</v>
      </c>
    </row>
    <row r="6" spans="1:24" ht="18.399999999999999" customHeight="1" x14ac:dyDescent="0.25">
      <c r="A6" s="59" t="s">
        <v>54</v>
      </c>
      <c r="B6" s="65" t="s">
        <v>88</v>
      </c>
      <c r="C6" s="65" t="s">
        <v>88</v>
      </c>
      <c r="D6" s="65">
        <v>4</v>
      </c>
      <c r="E6" s="65" t="s">
        <v>88</v>
      </c>
      <c r="F6" s="65">
        <v>4</v>
      </c>
      <c r="G6" s="65" t="s">
        <v>88</v>
      </c>
      <c r="H6" s="65">
        <v>4</v>
      </c>
      <c r="I6" s="65" t="s">
        <v>88</v>
      </c>
      <c r="J6" s="65">
        <v>4</v>
      </c>
      <c r="K6" s="65" t="s">
        <v>88</v>
      </c>
      <c r="L6" s="65" t="s">
        <v>88</v>
      </c>
      <c r="M6" s="65" t="s">
        <v>88</v>
      </c>
      <c r="N6" s="65">
        <v>4</v>
      </c>
      <c r="O6" s="65" t="s">
        <v>88</v>
      </c>
      <c r="P6" s="65" t="s">
        <v>88</v>
      </c>
      <c r="Q6" s="65" t="s">
        <v>88</v>
      </c>
      <c r="R6" s="65" t="s">
        <v>88</v>
      </c>
      <c r="S6" s="65" t="s">
        <v>88</v>
      </c>
    </row>
    <row r="7" spans="1:24" ht="18.399999999999999" customHeight="1" x14ac:dyDescent="0.25">
      <c r="A7" s="59" t="s">
        <v>53</v>
      </c>
      <c r="B7" s="65" t="s">
        <v>88</v>
      </c>
      <c r="C7" s="65">
        <v>4</v>
      </c>
      <c r="D7" s="65">
        <v>4</v>
      </c>
      <c r="E7" s="65">
        <v>4</v>
      </c>
      <c r="F7" s="65" t="s">
        <v>88</v>
      </c>
      <c r="G7" s="65" t="s">
        <v>88</v>
      </c>
      <c r="H7" s="65" t="s">
        <v>88</v>
      </c>
      <c r="I7" s="66">
        <v>4</v>
      </c>
      <c r="J7" s="66">
        <v>4</v>
      </c>
      <c r="K7" s="65" t="s">
        <v>88</v>
      </c>
      <c r="L7" s="66">
        <v>4</v>
      </c>
      <c r="M7" s="65" t="s">
        <v>88</v>
      </c>
      <c r="N7" s="65" t="s">
        <v>88</v>
      </c>
      <c r="O7" s="65" t="s">
        <v>88</v>
      </c>
      <c r="P7" s="65" t="s">
        <v>88</v>
      </c>
      <c r="Q7" s="65" t="s">
        <v>88</v>
      </c>
      <c r="R7" s="65" t="s">
        <v>88</v>
      </c>
      <c r="S7" s="65" t="s">
        <v>88</v>
      </c>
    </row>
    <row r="8" spans="1:24" ht="18.399999999999999" customHeight="1" x14ac:dyDescent="0.25">
      <c r="A8" s="59" t="s">
        <v>52</v>
      </c>
      <c r="B8" s="65" t="s">
        <v>88</v>
      </c>
      <c r="C8" s="65">
        <v>4</v>
      </c>
      <c r="D8" s="65">
        <v>4</v>
      </c>
      <c r="E8" s="65">
        <v>4</v>
      </c>
      <c r="F8" s="65" t="s">
        <v>88</v>
      </c>
      <c r="G8" s="65" t="s">
        <v>88</v>
      </c>
      <c r="H8" s="65" t="s">
        <v>88</v>
      </c>
      <c r="I8" s="66">
        <v>4</v>
      </c>
      <c r="J8" s="66">
        <v>4</v>
      </c>
      <c r="K8" s="65" t="s">
        <v>88</v>
      </c>
      <c r="L8" s="66">
        <v>4</v>
      </c>
      <c r="M8" s="65" t="s">
        <v>88</v>
      </c>
      <c r="N8" s="65" t="s">
        <v>88</v>
      </c>
      <c r="O8" s="65" t="s">
        <v>88</v>
      </c>
      <c r="P8" s="65" t="s">
        <v>88</v>
      </c>
      <c r="Q8" s="65" t="s">
        <v>88</v>
      </c>
      <c r="R8" s="65" t="s">
        <v>88</v>
      </c>
      <c r="S8" s="65" t="s">
        <v>88</v>
      </c>
    </row>
    <row r="9" spans="1:24" ht="18.399999999999999" customHeight="1" x14ac:dyDescent="0.25">
      <c r="A9" s="59" t="s">
        <v>51</v>
      </c>
      <c r="B9" s="65" t="s">
        <v>88</v>
      </c>
      <c r="C9" s="65" t="s">
        <v>88</v>
      </c>
      <c r="D9" s="65">
        <v>4</v>
      </c>
      <c r="E9" s="65" t="s">
        <v>88</v>
      </c>
      <c r="F9" s="65">
        <v>4</v>
      </c>
      <c r="G9" s="65" t="s">
        <v>88</v>
      </c>
      <c r="H9" s="65">
        <v>4</v>
      </c>
      <c r="I9" s="65" t="s">
        <v>88</v>
      </c>
      <c r="J9" s="65">
        <v>4</v>
      </c>
      <c r="K9" s="65" t="s">
        <v>88</v>
      </c>
      <c r="L9" s="65" t="s">
        <v>88</v>
      </c>
      <c r="M9" s="65" t="s">
        <v>88</v>
      </c>
      <c r="N9" s="65">
        <v>4</v>
      </c>
      <c r="O9" s="65" t="s">
        <v>88</v>
      </c>
      <c r="P9" s="65" t="s">
        <v>88</v>
      </c>
      <c r="Q9" s="65" t="s">
        <v>88</v>
      </c>
      <c r="R9" s="65" t="s">
        <v>88</v>
      </c>
      <c r="S9" s="65" t="s">
        <v>88</v>
      </c>
    </row>
    <row r="10" spans="1:24" ht="18.399999999999999" customHeight="1" x14ac:dyDescent="0.25">
      <c r="A10" s="59" t="s">
        <v>50</v>
      </c>
      <c r="B10" s="65" t="s">
        <v>88</v>
      </c>
      <c r="C10" s="65" t="s">
        <v>88</v>
      </c>
      <c r="D10" s="65">
        <v>4</v>
      </c>
      <c r="E10" s="65" t="s">
        <v>88</v>
      </c>
      <c r="F10" s="65">
        <v>4</v>
      </c>
      <c r="G10" s="65" t="s">
        <v>88</v>
      </c>
      <c r="H10" s="65">
        <v>4</v>
      </c>
      <c r="I10" s="65" t="s">
        <v>88</v>
      </c>
      <c r="J10" s="65">
        <v>4</v>
      </c>
      <c r="K10" s="65" t="s">
        <v>88</v>
      </c>
      <c r="L10" s="65" t="s">
        <v>88</v>
      </c>
      <c r="M10" s="65" t="s">
        <v>88</v>
      </c>
      <c r="N10" s="65">
        <v>4</v>
      </c>
      <c r="O10" s="65" t="s">
        <v>88</v>
      </c>
      <c r="P10" s="65" t="s">
        <v>88</v>
      </c>
      <c r="Q10" s="65" t="s">
        <v>88</v>
      </c>
      <c r="R10" s="65" t="s">
        <v>88</v>
      </c>
      <c r="S10" s="65" t="s">
        <v>88</v>
      </c>
    </row>
    <row r="11" spans="1:24" ht="18.399999999999999" customHeight="1" x14ac:dyDescent="0.25">
      <c r="A11" s="59" t="s">
        <v>49</v>
      </c>
      <c r="B11" s="65" t="s">
        <v>88</v>
      </c>
      <c r="C11" s="65" t="s">
        <v>88</v>
      </c>
      <c r="D11" s="65">
        <v>4</v>
      </c>
      <c r="E11" s="65" t="s">
        <v>88</v>
      </c>
      <c r="F11" s="65">
        <v>4</v>
      </c>
      <c r="G11" s="65" t="s">
        <v>88</v>
      </c>
      <c r="H11" s="65">
        <v>4</v>
      </c>
      <c r="I11" s="65" t="s">
        <v>88</v>
      </c>
      <c r="J11" s="65">
        <v>4</v>
      </c>
      <c r="K11" s="65" t="s">
        <v>88</v>
      </c>
      <c r="L11" s="65" t="s">
        <v>88</v>
      </c>
      <c r="M11" s="65" t="s">
        <v>88</v>
      </c>
      <c r="N11" s="65">
        <v>4</v>
      </c>
      <c r="O11" s="65" t="s">
        <v>88</v>
      </c>
      <c r="P11" s="65" t="s">
        <v>88</v>
      </c>
      <c r="Q11" s="65" t="s">
        <v>88</v>
      </c>
      <c r="R11" s="65" t="s">
        <v>88</v>
      </c>
      <c r="S11" s="65" t="s">
        <v>88</v>
      </c>
    </row>
    <row r="12" spans="1:24" ht="18.399999999999999" customHeight="1" x14ac:dyDescent="0.25">
      <c r="A12" s="60" t="s">
        <v>28</v>
      </c>
      <c r="B12" s="67"/>
      <c r="C12" s="67"/>
      <c r="D12" s="67"/>
      <c r="E12" s="67"/>
      <c r="F12" s="67"/>
      <c r="G12" s="68"/>
      <c r="H12" s="68"/>
      <c r="I12" s="68"/>
      <c r="J12" s="68"/>
      <c r="K12" s="68"/>
      <c r="L12" s="68"/>
      <c r="M12" s="68"/>
      <c r="N12" s="68"/>
      <c r="O12" s="68"/>
      <c r="P12" s="68"/>
      <c r="Q12" s="68"/>
      <c r="R12" s="68"/>
      <c r="S12" s="68"/>
    </row>
    <row r="13" spans="1:24" ht="18.399999999999999" customHeight="1" x14ac:dyDescent="0.25">
      <c r="A13" s="51" t="s">
        <v>92</v>
      </c>
      <c r="B13" s="65">
        <v>5</v>
      </c>
      <c r="C13" s="65">
        <v>5</v>
      </c>
      <c r="D13" s="65" t="s">
        <v>88</v>
      </c>
      <c r="E13" s="65">
        <v>5</v>
      </c>
      <c r="F13" s="65" t="s">
        <v>88</v>
      </c>
      <c r="G13" s="65" t="s">
        <v>88</v>
      </c>
      <c r="H13" s="65" t="s">
        <v>88</v>
      </c>
      <c r="I13" s="65" t="s">
        <v>88</v>
      </c>
      <c r="J13" s="66">
        <v>5</v>
      </c>
      <c r="K13" s="65" t="s">
        <v>88</v>
      </c>
      <c r="L13" s="66">
        <v>5</v>
      </c>
      <c r="M13" s="65" t="s">
        <v>88</v>
      </c>
      <c r="N13" s="65" t="s">
        <v>88</v>
      </c>
      <c r="O13" s="65" t="s">
        <v>88</v>
      </c>
      <c r="P13" s="65">
        <v>5</v>
      </c>
      <c r="Q13" s="65" t="s">
        <v>88</v>
      </c>
      <c r="R13" s="65" t="s">
        <v>88</v>
      </c>
      <c r="S13" s="65" t="s">
        <v>88</v>
      </c>
    </row>
    <row r="14" spans="1:24" ht="18.399999999999999" customHeight="1" x14ac:dyDescent="0.25">
      <c r="A14" s="51" t="s">
        <v>93</v>
      </c>
      <c r="B14" s="65" t="s">
        <v>88</v>
      </c>
      <c r="C14" s="65">
        <v>4</v>
      </c>
      <c r="D14" s="65">
        <v>4</v>
      </c>
      <c r="E14" s="65">
        <v>4</v>
      </c>
      <c r="F14" s="65" t="s">
        <v>88</v>
      </c>
      <c r="G14" s="65" t="s">
        <v>88</v>
      </c>
      <c r="H14" s="65" t="s">
        <v>88</v>
      </c>
      <c r="I14" s="66">
        <v>4</v>
      </c>
      <c r="J14" s="66">
        <v>4</v>
      </c>
      <c r="K14" s="65" t="s">
        <v>88</v>
      </c>
      <c r="L14" s="66">
        <v>4</v>
      </c>
      <c r="M14" s="65" t="s">
        <v>88</v>
      </c>
      <c r="N14" s="65" t="s">
        <v>88</v>
      </c>
      <c r="O14" s="65" t="s">
        <v>88</v>
      </c>
      <c r="P14" s="65" t="s">
        <v>88</v>
      </c>
      <c r="Q14" s="65" t="s">
        <v>88</v>
      </c>
      <c r="R14" s="65" t="s">
        <v>88</v>
      </c>
      <c r="S14" s="65" t="s">
        <v>88</v>
      </c>
    </row>
    <row r="15" spans="1:24" ht="18.399999999999999" customHeight="1" x14ac:dyDescent="0.25">
      <c r="A15" s="51" t="s">
        <v>94</v>
      </c>
      <c r="B15" s="65" t="s">
        <v>88</v>
      </c>
      <c r="C15" s="65" t="s">
        <v>88</v>
      </c>
      <c r="D15" s="65">
        <v>4</v>
      </c>
      <c r="E15" s="65" t="s">
        <v>88</v>
      </c>
      <c r="F15" s="65">
        <v>4</v>
      </c>
      <c r="G15" s="65" t="s">
        <v>88</v>
      </c>
      <c r="H15" s="65">
        <v>4</v>
      </c>
      <c r="I15" s="65" t="s">
        <v>88</v>
      </c>
      <c r="J15" s="65">
        <v>4</v>
      </c>
      <c r="K15" s="65" t="s">
        <v>88</v>
      </c>
      <c r="L15" s="65" t="s">
        <v>88</v>
      </c>
      <c r="M15" s="65" t="s">
        <v>88</v>
      </c>
      <c r="N15" s="65">
        <v>4</v>
      </c>
      <c r="O15" s="65" t="s">
        <v>88</v>
      </c>
      <c r="P15" s="65" t="s">
        <v>88</v>
      </c>
      <c r="Q15" s="65" t="s">
        <v>88</v>
      </c>
      <c r="R15" s="65" t="s">
        <v>88</v>
      </c>
      <c r="S15" s="65" t="s">
        <v>88</v>
      </c>
    </row>
    <row r="16" spans="1:24" ht="18.399999999999999" customHeight="1" x14ac:dyDescent="0.25">
      <c r="A16" s="51" t="s">
        <v>95</v>
      </c>
      <c r="B16" s="65" t="s">
        <v>88</v>
      </c>
      <c r="C16" s="65" t="s">
        <v>88</v>
      </c>
      <c r="D16" s="65">
        <v>4</v>
      </c>
      <c r="E16" s="65" t="s">
        <v>88</v>
      </c>
      <c r="F16" s="65">
        <v>4</v>
      </c>
      <c r="G16" s="65" t="s">
        <v>88</v>
      </c>
      <c r="H16" s="65">
        <v>4</v>
      </c>
      <c r="I16" s="65" t="s">
        <v>88</v>
      </c>
      <c r="J16" s="65">
        <v>4</v>
      </c>
      <c r="K16" s="65" t="s">
        <v>88</v>
      </c>
      <c r="L16" s="65" t="s">
        <v>88</v>
      </c>
      <c r="M16" s="65" t="s">
        <v>88</v>
      </c>
      <c r="N16" s="65">
        <v>4</v>
      </c>
      <c r="O16" s="65" t="s">
        <v>88</v>
      </c>
      <c r="P16" s="65" t="s">
        <v>88</v>
      </c>
      <c r="Q16" s="65" t="s">
        <v>88</v>
      </c>
      <c r="R16" s="65" t="s">
        <v>88</v>
      </c>
      <c r="S16" s="65" t="s">
        <v>88</v>
      </c>
    </row>
    <row r="17" spans="1:19" ht="18.399999999999999" customHeight="1" x14ac:dyDescent="0.25">
      <c r="A17" s="51" t="s">
        <v>96</v>
      </c>
      <c r="B17" s="65" t="s">
        <v>88</v>
      </c>
      <c r="C17" s="65">
        <v>4</v>
      </c>
      <c r="D17" s="65">
        <v>4</v>
      </c>
      <c r="E17" s="65">
        <v>4</v>
      </c>
      <c r="F17" s="65" t="s">
        <v>88</v>
      </c>
      <c r="G17" s="65" t="s">
        <v>88</v>
      </c>
      <c r="H17" s="65" t="s">
        <v>88</v>
      </c>
      <c r="I17" s="66">
        <v>4</v>
      </c>
      <c r="J17" s="66">
        <v>4</v>
      </c>
      <c r="K17" s="65" t="s">
        <v>88</v>
      </c>
      <c r="L17" s="66">
        <v>4</v>
      </c>
      <c r="M17" s="65" t="s">
        <v>88</v>
      </c>
      <c r="N17" s="65" t="s">
        <v>88</v>
      </c>
      <c r="O17" s="65" t="s">
        <v>88</v>
      </c>
      <c r="P17" s="65" t="s">
        <v>88</v>
      </c>
      <c r="Q17" s="65" t="s">
        <v>88</v>
      </c>
      <c r="R17" s="65" t="s">
        <v>88</v>
      </c>
      <c r="S17" s="65" t="s">
        <v>88</v>
      </c>
    </row>
    <row r="18" spans="1:19" ht="18.399999999999999" customHeight="1" x14ac:dyDescent="0.25">
      <c r="A18" s="51" t="s">
        <v>97</v>
      </c>
      <c r="B18" s="65" t="s">
        <v>88</v>
      </c>
      <c r="C18" s="65">
        <v>4</v>
      </c>
      <c r="D18" s="65">
        <v>4</v>
      </c>
      <c r="E18" s="65">
        <v>4</v>
      </c>
      <c r="F18" s="65" t="s">
        <v>88</v>
      </c>
      <c r="G18" s="65" t="s">
        <v>88</v>
      </c>
      <c r="H18" s="65" t="s">
        <v>88</v>
      </c>
      <c r="I18" s="66">
        <v>4</v>
      </c>
      <c r="J18" s="66">
        <v>4</v>
      </c>
      <c r="K18" s="65" t="s">
        <v>88</v>
      </c>
      <c r="L18" s="66">
        <v>4</v>
      </c>
      <c r="M18" s="65" t="s">
        <v>88</v>
      </c>
      <c r="N18" s="65" t="s">
        <v>88</v>
      </c>
      <c r="O18" s="65" t="s">
        <v>88</v>
      </c>
      <c r="P18" s="65" t="s">
        <v>88</v>
      </c>
      <c r="Q18" s="65" t="s">
        <v>88</v>
      </c>
      <c r="R18" s="65" t="s">
        <v>88</v>
      </c>
      <c r="S18" s="65" t="s">
        <v>88</v>
      </c>
    </row>
    <row r="19" spans="1:19" ht="18.399999999999999" customHeight="1" x14ac:dyDescent="0.25">
      <c r="A19" s="51" t="s">
        <v>98</v>
      </c>
      <c r="B19" s="65" t="s">
        <v>88</v>
      </c>
      <c r="C19" s="65" t="s">
        <v>88</v>
      </c>
      <c r="D19" s="65">
        <v>4</v>
      </c>
      <c r="E19" s="65" t="s">
        <v>88</v>
      </c>
      <c r="F19" s="65">
        <v>4</v>
      </c>
      <c r="G19" s="65" t="s">
        <v>88</v>
      </c>
      <c r="H19" s="65">
        <v>4</v>
      </c>
      <c r="I19" s="65" t="s">
        <v>88</v>
      </c>
      <c r="J19" s="65">
        <v>4</v>
      </c>
      <c r="K19" s="65" t="s">
        <v>88</v>
      </c>
      <c r="L19" s="65" t="s">
        <v>88</v>
      </c>
      <c r="M19" s="65" t="s">
        <v>88</v>
      </c>
      <c r="N19" s="65">
        <v>4</v>
      </c>
      <c r="O19" s="65" t="s">
        <v>88</v>
      </c>
      <c r="P19" s="65" t="s">
        <v>88</v>
      </c>
      <c r="Q19" s="65" t="s">
        <v>88</v>
      </c>
      <c r="R19" s="65" t="s">
        <v>88</v>
      </c>
      <c r="S19" s="65" t="s">
        <v>88</v>
      </c>
    </row>
    <row r="20" spans="1:19" ht="18.399999999999999" customHeight="1" x14ac:dyDescent="0.25">
      <c r="A20" s="51" t="s">
        <v>99</v>
      </c>
      <c r="B20" s="65" t="s">
        <v>88</v>
      </c>
      <c r="C20" s="65" t="s">
        <v>88</v>
      </c>
      <c r="D20" s="65">
        <v>4</v>
      </c>
      <c r="E20" s="65" t="s">
        <v>88</v>
      </c>
      <c r="F20" s="65">
        <v>4</v>
      </c>
      <c r="G20" s="65" t="s">
        <v>88</v>
      </c>
      <c r="H20" s="65">
        <v>4</v>
      </c>
      <c r="I20" s="65" t="s">
        <v>88</v>
      </c>
      <c r="J20" s="65">
        <v>4</v>
      </c>
      <c r="K20" s="65" t="s">
        <v>88</v>
      </c>
      <c r="L20" s="65" t="s">
        <v>88</v>
      </c>
      <c r="M20" s="65" t="s">
        <v>88</v>
      </c>
      <c r="N20" s="65">
        <v>4</v>
      </c>
      <c r="O20" s="65" t="s">
        <v>88</v>
      </c>
      <c r="P20" s="65" t="s">
        <v>88</v>
      </c>
      <c r="Q20" s="65" t="s">
        <v>88</v>
      </c>
      <c r="R20" s="65" t="s">
        <v>88</v>
      </c>
      <c r="S20" s="65" t="s">
        <v>88</v>
      </c>
    </row>
    <row r="21" spans="1:19" ht="18.399999999999999" customHeight="1" x14ac:dyDescent="0.25">
      <c r="A21" s="51" t="s">
        <v>100</v>
      </c>
      <c r="B21" s="65" t="s">
        <v>88</v>
      </c>
      <c r="C21" s="65" t="s">
        <v>88</v>
      </c>
      <c r="D21" s="65">
        <v>4</v>
      </c>
      <c r="E21" s="65" t="s">
        <v>88</v>
      </c>
      <c r="F21" s="65">
        <v>4</v>
      </c>
      <c r="G21" s="65" t="s">
        <v>88</v>
      </c>
      <c r="H21" s="65">
        <v>4</v>
      </c>
      <c r="I21" s="65" t="s">
        <v>88</v>
      </c>
      <c r="J21" s="65">
        <v>4</v>
      </c>
      <c r="K21" s="65" t="s">
        <v>88</v>
      </c>
      <c r="L21" s="65" t="s">
        <v>88</v>
      </c>
      <c r="M21" s="65" t="s">
        <v>88</v>
      </c>
      <c r="N21" s="65">
        <v>4</v>
      </c>
      <c r="O21" s="65" t="s">
        <v>88</v>
      </c>
      <c r="P21" s="65" t="s">
        <v>88</v>
      </c>
      <c r="Q21" s="65" t="s">
        <v>88</v>
      </c>
      <c r="R21" s="65" t="s">
        <v>88</v>
      </c>
      <c r="S21" s="65" t="s">
        <v>88</v>
      </c>
    </row>
    <row r="22" spans="1:19" ht="18.399999999999999" customHeight="1" x14ac:dyDescent="0.25">
      <c r="A22" s="51" t="s">
        <v>101</v>
      </c>
      <c r="B22" s="65" t="s">
        <v>88</v>
      </c>
      <c r="C22" s="65" t="s">
        <v>88</v>
      </c>
      <c r="D22" s="65">
        <v>4</v>
      </c>
      <c r="E22" s="65" t="s">
        <v>88</v>
      </c>
      <c r="F22" s="65">
        <v>4</v>
      </c>
      <c r="G22" s="65" t="s">
        <v>88</v>
      </c>
      <c r="H22" s="65">
        <v>4</v>
      </c>
      <c r="I22" s="65" t="s">
        <v>88</v>
      </c>
      <c r="J22" s="65">
        <v>4</v>
      </c>
      <c r="K22" s="65" t="s">
        <v>88</v>
      </c>
      <c r="L22" s="65" t="s">
        <v>88</v>
      </c>
      <c r="M22" s="65" t="s">
        <v>88</v>
      </c>
      <c r="N22" s="65">
        <v>4</v>
      </c>
      <c r="O22" s="65" t="s">
        <v>88</v>
      </c>
      <c r="P22" s="65" t="s">
        <v>88</v>
      </c>
      <c r="Q22" s="65" t="s">
        <v>88</v>
      </c>
      <c r="R22" s="65" t="s">
        <v>88</v>
      </c>
      <c r="S22" s="65" t="s">
        <v>88</v>
      </c>
    </row>
    <row r="23" spans="1:19" ht="18.399999999999999" customHeight="1" x14ac:dyDescent="0.25">
      <c r="A23" s="51" t="s">
        <v>102</v>
      </c>
      <c r="B23" s="65" t="s">
        <v>88</v>
      </c>
      <c r="C23" s="65" t="s">
        <v>88</v>
      </c>
      <c r="D23" s="65">
        <v>4</v>
      </c>
      <c r="E23" s="65" t="s">
        <v>88</v>
      </c>
      <c r="F23" s="65">
        <v>4</v>
      </c>
      <c r="G23" s="65" t="s">
        <v>88</v>
      </c>
      <c r="H23" s="65">
        <v>4</v>
      </c>
      <c r="I23" s="65" t="s">
        <v>88</v>
      </c>
      <c r="J23" s="65">
        <v>4</v>
      </c>
      <c r="K23" s="65" t="s">
        <v>88</v>
      </c>
      <c r="L23" s="65" t="s">
        <v>88</v>
      </c>
      <c r="M23" s="65" t="s">
        <v>88</v>
      </c>
      <c r="N23" s="65">
        <v>4</v>
      </c>
      <c r="O23" s="65" t="s">
        <v>88</v>
      </c>
      <c r="P23" s="65" t="s">
        <v>88</v>
      </c>
      <c r="Q23" s="65" t="s">
        <v>88</v>
      </c>
      <c r="R23" s="65" t="s">
        <v>88</v>
      </c>
      <c r="S23" s="65" t="s">
        <v>88</v>
      </c>
    </row>
    <row r="24" spans="1:19" ht="18.399999999999999" customHeight="1" x14ac:dyDescent="0.25">
      <c r="A24" s="51" t="s">
        <v>103</v>
      </c>
      <c r="B24" s="65" t="s">
        <v>88</v>
      </c>
      <c r="C24" s="65" t="s">
        <v>88</v>
      </c>
      <c r="D24" s="65">
        <v>4</v>
      </c>
      <c r="E24" s="65" t="s">
        <v>88</v>
      </c>
      <c r="F24" s="65">
        <v>4</v>
      </c>
      <c r="G24" s="65" t="s">
        <v>88</v>
      </c>
      <c r="H24" s="65">
        <v>4</v>
      </c>
      <c r="I24" s="65" t="s">
        <v>88</v>
      </c>
      <c r="J24" s="65">
        <v>4</v>
      </c>
      <c r="K24" s="65" t="s">
        <v>88</v>
      </c>
      <c r="L24" s="65" t="s">
        <v>88</v>
      </c>
      <c r="M24" s="65" t="s">
        <v>88</v>
      </c>
      <c r="N24" s="65">
        <v>4</v>
      </c>
      <c r="O24" s="65" t="s">
        <v>88</v>
      </c>
      <c r="P24" s="65" t="s">
        <v>88</v>
      </c>
      <c r="Q24" s="65" t="s">
        <v>88</v>
      </c>
      <c r="R24" s="65" t="s">
        <v>88</v>
      </c>
      <c r="S24" s="65" t="s">
        <v>88</v>
      </c>
    </row>
    <row r="25" spans="1:19" ht="18.399999999999999" customHeight="1" x14ac:dyDescent="0.25">
      <c r="A25" s="51" t="s">
        <v>48</v>
      </c>
      <c r="B25" s="65" t="s">
        <v>88</v>
      </c>
      <c r="C25" s="65" t="s">
        <v>88</v>
      </c>
      <c r="D25" s="65">
        <v>4</v>
      </c>
      <c r="E25" s="65" t="s">
        <v>88</v>
      </c>
      <c r="F25" s="65">
        <v>4</v>
      </c>
      <c r="G25" s="65" t="s">
        <v>88</v>
      </c>
      <c r="H25" s="65">
        <v>4</v>
      </c>
      <c r="I25" s="65" t="s">
        <v>88</v>
      </c>
      <c r="J25" s="65">
        <v>4</v>
      </c>
      <c r="K25" s="65" t="s">
        <v>88</v>
      </c>
      <c r="L25" s="65" t="s">
        <v>88</v>
      </c>
      <c r="M25" s="65" t="s">
        <v>88</v>
      </c>
      <c r="N25" s="65">
        <v>4</v>
      </c>
      <c r="O25" s="65" t="s">
        <v>88</v>
      </c>
      <c r="P25" s="65" t="s">
        <v>88</v>
      </c>
      <c r="Q25" s="65" t="s">
        <v>88</v>
      </c>
      <c r="R25" s="65" t="s">
        <v>88</v>
      </c>
      <c r="S25" s="65" t="s">
        <v>88</v>
      </c>
    </row>
    <row r="26" spans="1:19" ht="18.399999999999999" customHeight="1" x14ac:dyDescent="0.25">
      <c r="A26" s="60" t="s">
        <v>29</v>
      </c>
      <c r="B26" s="67"/>
      <c r="C26" s="67"/>
      <c r="D26" s="67"/>
      <c r="E26" s="67"/>
      <c r="F26" s="67"/>
      <c r="G26" s="68"/>
      <c r="H26" s="68"/>
      <c r="I26" s="68"/>
      <c r="J26" s="68"/>
      <c r="K26" s="68"/>
      <c r="L26" s="68"/>
      <c r="M26" s="68"/>
      <c r="N26" s="68"/>
      <c r="O26" s="68"/>
      <c r="P26" s="68"/>
      <c r="Q26" s="68"/>
      <c r="R26" s="68"/>
      <c r="S26" s="68"/>
    </row>
    <row r="27" spans="1:19" ht="18.399999999999999" customHeight="1" x14ac:dyDescent="0.25">
      <c r="A27" s="59" t="s">
        <v>47</v>
      </c>
      <c r="B27" s="65">
        <v>5</v>
      </c>
      <c r="C27" s="65">
        <v>5</v>
      </c>
      <c r="D27" s="65" t="s">
        <v>88</v>
      </c>
      <c r="E27" s="65">
        <v>5</v>
      </c>
      <c r="F27" s="65" t="s">
        <v>88</v>
      </c>
      <c r="G27" s="65" t="s">
        <v>88</v>
      </c>
      <c r="H27" s="65" t="s">
        <v>88</v>
      </c>
      <c r="I27" s="65" t="s">
        <v>88</v>
      </c>
      <c r="J27" s="66">
        <v>5</v>
      </c>
      <c r="K27" s="65" t="s">
        <v>88</v>
      </c>
      <c r="L27" s="66">
        <v>5</v>
      </c>
      <c r="M27" s="65" t="s">
        <v>88</v>
      </c>
      <c r="N27" s="65" t="s">
        <v>88</v>
      </c>
      <c r="O27" s="65" t="s">
        <v>88</v>
      </c>
      <c r="P27" s="65">
        <v>5</v>
      </c>
      <c r="Q27" s="65" t="s">
        <v>88</v>
      </c>
      <c r="R27" s="65" t="s">
        <v>88</v>
      </c>
      <c r="S27" s="65" t="s">
        <v>88</v>
      </c>
    </row>
    <row r="28" spans="1:19" ht="18.399999999999999" customHeight="1" x14ac:dyDescent="0.25">
      <c r="A28" s="59" t="s">
        <v>46</v>
      </c>
      <c r="B28" s="65" t="s">
        <v>88</v>
      </c>
      <c r="C28" s="65">
        <v>4</v>
      </c>
      <c r="D28" s="65">
        <v>4</v>
      </c>
      <c r="E28" s="65">
        <v>4</v>
      </c>
      <c r="F28" s="65" t="s">
        <v>88</v>
      </c>
      <c r="G28" s="65" t="s">
        <v>88</v>
      </c>
      <c r="H28" s="65" t="s">
        <v>88</v>
      </c>
      <c r="I28" s="66">
        <v>4</v>
      </c>
      <c r="J28" s="66">
        <v>4</v>
      </c>
      <c r="K28" s="65" t="s">
        <v>88</v>
      </c>
      <c r="L28" s="66">
        <v>4</v>
      </c>
      <c r="M28" s="65" t="s">
        <v>88</v>
      </c>
      <c r="N28" s="65" t="s">
        <v>88</v>
      </c>
      <c r="O28" s="65" t="s">
        <v>88</v>
      </c>
      <c r="P28" s="65" t="s">
        <v>88</v>
      </c>
      <c r="Q28" s="65" t="s">
        <v>88</v>
      </c>
      <c r="R28" s="65" t="s">
        <v>88</v>
      </c>
      <c r="S28" s="65" t="s">
        <v>88</v>
      </c>
    </row>
    <row r="29" spans="1:19" ht="18.399999999999999" customHeight="1" x14ac:dyDescent="0.25">
      <c r="A29" s="59" t="s">
        <v>62</v>
      </c>
      <c r="B29" s="65" t="s">
        <v>88</v>
      </c>
      <c r="C29" s="65" t="s">
        <v>88</v>
      </c>
      <c r="D29" s="65">
        <v>4</v>
      </c>
      <c r="E29" s="65" t="s">
        <v>88</v>
      </c>
      <c r="F29" s="65">
        <v>4</v>
      </c>
      <c r="G29" s="65" t="s">
        <v>88</v>
      </c>
      <c r="H29" s="65">
        <v>4</v>
      </c>
      <c r="I29" s="65" t="s">
        <v>88</v>
      </c>
      <c r="J29" s="65">
        <v>4</v>
      </c>
      <c r="K29" s="65" t="s">
        <v>88</v>
      </c>
      <c r="L29" s="65" t="s">
        <v>88</v>
      </c>
      <c r="M29" s="65" t="s">
        <v>88</v>
      </c>
      <c r="N29" s="65">
        <v>4</v>
      </c>
      <c r="O29" s="65" t="s">
        <v>88</v>
      </c>
      <c r="P29" s="65" t="s">
        <v>88</v>
      </c>
      <c r="Q29" s="65" t="s">
        <v>88</v>
      </c>
      <c r="R29" s="65" t="s">
        <v>88</v>
      </c>
      <c r="S29" s="65" t="s">
        <v>88</v>
      </c>
    </row>
    <row r="30" spans="1:19" ht="18.399999999999999" customHeight="1" x14ac:dyDescent="0.25">
      <c r="A30" s="59" t="s">
        <v>45</v>
      </c>
      <c r="B30" s="65" t="s">
        <v>88</v>
      </c>
      <c r="C30" s="65" t="s">
        <v>88</v>
      </c>
      <c r="D30" s="65">
        <v>4</v>
      </c>
      <c r="E30" s="65" t="s">
        <v>88</v>
      </c>
      <c r="F30" s="65">
        <v>4</v>
      </c>
      <c r="G30" s="65" t="s">
        <v>88</v>
      </c>
      <c r="H30" s="65">
        <v>4</v>
      </c>
      <c r="I30" s="65" t="s">
        <v>88</v>
      </c>
      <c r="J30" s="65">
        <v>4</v>
      </c>
      <c r="K30" s="65" t="s">
        <v>88</v>
      </c>
      <c r="L30" s="65" t="s">
        <v>88</v>
      </c>
      <c r="M30" s="65" t="s">
        <v>88</v>
      </c>
      <c r="N30" s="65">
        <v>4</v>
      </c>
      <c r="O30" s="65" t="s">
        <v>88</v>
      </c>
      <c r="P30" s="65" t="s">
        <v>88</v>
      </c>
      <c r="Q30" s="65" t="s">
        <v>88</v>
      </c>
      <c r="R30" s="65" t="s">
        <v>88</v>
      </c>
      <c r="S30" s="65" t="s">
        <v>88</v>
      </c>
    </row>
    <row r="31" spans="1:19" ht="18.399999999999999" customHeight="1" x14ac:dyDescent="0.25">
      <c r="A31" s="59" t="s">
        <v>44</v>
      </c>
      <c r="B31" s="65" t="s">
        <v>88</v>
      </c>
      <c r="C31" s="65">
        <v>4</v>
      </c>
      <c r="D31" s="65">
        <v>4</v>
      </c>
      <c r="E31" s="65">
        <v>4</v>
      </c>
      <c r="F31" s="65" t="s">
        <v>88</v>
      </c>
      <c r="G31" s="65" t="s">
        <v>88</v>
      </c>
      <c r="H31" s="65" t="s">
        <v>88</v>
      </c>
      <c r="I31" s="66">
        <v>4</v>
      </c>
      <c r="J31" s="66">
        <v>4</v>
      </c>
      <c r="K31" s="65" t="s">
        <v>88</v>
      </c>
      <c r="L31" s="66">
        <v>4</v>
      </c>
      <c r="M31" s="65" t="s">
        <v>88</v>
      </c>
      <c r="N31" s="65" t="s">
        <v>88</v>
      </c>
      <c r="O31" s="65" t="s">
        <v>88</v>
      </c>
      <c r="P31" s="65" t="s">
        <v>88</v>
      </c>
      <c r="Q31" s="65" t="s">
        <v>88</v>
      </c>
      <c r="R31" s="65" t="s">
        <v>88</v>
      </c>
      <c r="S31" s="65" t="s">
        <v>88</v>
      </c>
    </row>
    <row r="32" spans="1:19" ht="18.399999999999999" customHeight="1" x14ac:dyDescent="0.25">
      <c r="A32" s="59" t="s">
        <v>43</v>
      </c>
      <c r="B32" s="65" t="s">
        <v>88</v>
      </c>
      <c r="C32" s="65">
        <v>4</v>
      </c>
      <c r="D32" s="65">
        <v>4</v>
      </c>
      <c r="E32" s="65">
        <v>4</v>
      </c>
      <c r="F32" s="65" t="s">
        <v>88</v>
      </c>
      <c r="G32" s="65" t="s">
        <v>88</v>
      </c>
      <c r="H32" s="65" t="s">
        <v>88</v>
      </c>
      <c r="I32" s="66">
        <v>4</v>
      </c>
      <c r="J32" s="66">
        <v>4</v>
      </c>
      <c r="K32" s="65" t="s">
        <v>88</v>
      </c>
      <c r="L32" s="66">
        <v>4</v>
      </c>
      <c r="M32" s="65" t="s">
        <v>88</v>
      </c>
      <c r="N32" s="65" t="s">
        <v>88</v>
      </c>
      <c r="O32" s="65" t="s">
        <v>88</v>
      </c>
      <c r="P32" s="65" t="s">
        <v>88</v>
      </c>
      <c r="Q32" s="65" t="s">
        <v>88</v>
      </c>
      <c r="R32" s="65" t="s">
        <v>88</v>
      </c>
      <c r="S32" s="65" t="s">
        <v>88</v>
      </c>
    </row>
    <row r="33" spans="1:19" ht="18.399999999999999" customHeight="1" x14ac:dyDescent="0.25">
      <c r="A33" s="59" t="s">
        <v>42</v>
      </c>
      <c r="B33" s="65" t="s">
        <v>88</v>
      </c>
      <c r="C33" s="65" t="s">
        <v>88</v>
      </c>
      <c r="D33" s="65">
        <v>4</v>
      </c>
      <c r="E33" s="65" t="s">
        <v>88</v>
      </c>
      <c r="F33" s="65">
        <v>4</v>
      </c>
      <c r="G33" s="65" t="s">
        <v>88</v>
      </c>
      <c r="H33" s="65">
        <v>4</v>
      </c>
      <c r="I33" s="65" t="s">
        <v>88</v>
      </c>
      <c r="J33" s="65">
        <v>4</v>
      </c>
      <c r="K33" s="65" t="s">
        <v>88</v>
      </c>
      <c r="L33" s="65" t="s">
        <v>88</v>
      </c>
      <c r="M33" s="65" t="s">
        <v>88</v>
      </c>
      <c r="N33" s="65">
        <v>4</v>
      </c>
      <c r="O33" s="65" t="s">
        <v>88</v>
      </c>
      <c r="P33" s="65" t="s">
        <v>88</v>
      </c>
      <c r="Q33" s="65" t="s">
        <v>88</v>
      </c>
      <c r="R33" s="65" t="s">
        <v>88</v>
      </c>
      <c r="S33" s="65" t="s">
        <v>88</v>
      </c>
    </row>
    <row r="34" spans="1:19" ht="18.399999999999999" customHeight="1" x14ac:dyDescent="0.25">
      <c r="A34" s="59" t="s">
        <v>41</v>
      </c>
      <c r="B34" s="65" t="s">
        <v>88</v>
      </c>
      <c r="C34" s="65" t="s">
        <v>88</v>
      </c>
      <c r="D34" s="65">
        <v>4</v>
      </c>
      <c r="E34" s="65" t="s">
        <v>88</v>
      </c>
      <c r="F34" s="65">
        <v>4</v>
      </c>
      <c r="G34" s="65" t="s">
        <v>88</v>
      </c>
      <c r="H34" s="65">
        <v>4</v>
      </c>
      <c r="I34" s="65" t="s">
        <v>88</v>
      </c>
      <c r="J34" s="65">
        <v>4</v>
      </c>
      <c r="K34" s="65" t="s">
        <v>88</v>
      </c>
      <c r="L34" s="65" t="s">
        <v>88</v>
      </c>
      <c r="M34" s="65" t="s">
        <v>88</v>
      </c>
      <c r="N34" s="65">
        <v>4</v>
      </c>
      <c r="O34" s="65" t="s">
        <v>88</v>
      </c>
      <c r="P34" s="65" t="s">
        <v>88</v>
      </c>
      <c r="Q34" s="65" t="s">
        <v>88</v>
      </c>
      <c r="R34" s="65" t="s">
        <v>88</v>
      </c>
      <c r="S34" s="65" t="s">
        <v>88</v>
      </c>
    </row>
    <row r="35" spans="1:19" ht="18.399999999999999" customHeight="1" x14ac:dyDescent="0.25">
      <c r="A35" s="59" t="s">
        <v>40</v>
      </c>
      <c r="B35" s="65" t="s">
        <v>88</v>
      </c>
      <c r="C35" s="65" t="s">
        <v>88</v>
      </c>
      <c r="D35" s="65">
        <v>4</v>
      </c>
      <c r="E35" s="65" t="s">
        <v>88</v>
      </c>
      <c r="F35" s="65">
        <v>4</v>
      </c>
      <c r="G35" s="65" t="s">
        <v>88</v>
      </c>
      <c r="H35" s="65">
        <v>4</v>
      </c>
      <c r="I35" s="65" t="s">
        <v>88</v>
      </c>
      <c r="J35" s="65">
        <v>4</v>
      </c>
      <c r="K35" s="65" t="s">
        <v>88</v>
      </c>
      <c r="L35" s="65" t="s">
        <v>88</v>
      </c>
      <c r="M35" s="65" t="s">
        <v>88</v>
      </c>
      <c r="N35" s="65">
        <v>4</v>
      </c>
      <c r="O35" s="65" t="s">
        <v>88</v>
      </c>
      <c r="P35" s="65" t="s">
        <v>88</v>
      </c>
      <c r="Q35" s="65" t="s">
        <v>88</v>
      </c>
      <c r="R35" s="65" t="s">
        <v>88</v>
      </c>
      <c r="S35" s="65" t="s">
        <v>88</v>
      </c>
    </row>
    <row r="36" spans="1:19" ht="18.399999999999999" customHeight="1" x14ac:dyDescent="0.25">
      <c r="A36" s="59" t="s">
        <v>39</v>
      </c>
      <c r="B36" s="65" t="s">
        <v>88</v>
      </c>
      <c r="C36" s="65" t="s">
        <v>88</v>
      </c>
      <c r="D36" s="65">
        <v>4</v>
      </c>
      <c r="E36" s="65" t="s">
        <v>88</v>
      </c>
      <c r="F36" s="65">
        <v>4</v>
      </c>
      <c r="G36" s="65" t="s">
        <v>88</v>
      </c>
      <c r="H36" s="65">
        <v>4</v>
      </c>
      <c r="I36" s="65" t="s">
        <v>88</v>
      </c>
      <c r="J36" s="65">
        <v>4</v>
      </c>
      <c r="K36" s="65" t="s">
        <v>88</v>
      </c>
      <c r="L36" s="65" t="s">
        <v>88</v>
      </c>
      <c r="M36" s="65" t="s">
        <v>88</v>
      </c>
      <c r="N36" s="65">
        <v>4</v>
      </c>
      <c r="O36" s="65" t="s">
        <v>88</v>
      </c>
      <c r="P36" s="65" t="s">
        <v>88</v>
      </c>
      <c r="Q36" s="65" t="s">
        <v>88</v>
      </c>
      <c r="R36" s="65" t="s">
        <v>88</v>
      </c>
      <c r="S36" s="65" t="s">
        <v>88</v>
      </c>
    </row>
    <row r="37" spans="1:19" ht="18.399999999999999" customHeight="1" x14ac:dyDescent="0.25">
      <c r="A37" s="59" t="s">
        <v>38</v>
      </c>
      <c r="B37" s="65" t="s">
        <v>88</v>
      </c>
      <c r="C37" s="65" t="s">
        <v>88</v>
      </c>
      <c r="D37" s="65">
        <v>4</v>
      </c>
      <c r="E37" s="65" t="s">
        <v>88</v>
      </c>
      <c r="F37" s="65">
        <v>4</v>
      </c>
      <c r="G37" s="65" t="s">
        <v>88</v>
      </c>
      <c r="H37" s="65">
        <v>4</v>
      </c>
      <c r="I37" s="65" t="s">
        <v>88</v>
      </c>
      <c r="J37" s="65">
        <v>4</v>
      </c>
      <c r="K37" s="65" t="s">
        <v>88</v>
      </c>
      <c r="L37" s="65" t="s">
        <v>88</v>
      </c>
      <c r="M37" s="65" t="s">
        <v>88</v>
      </c>
      <c r="N37" s="65">
        <v>4</v>
      </c>
      <c r="O37" s="65" t="s">
        <v>88</v>
      </c>
      <c r="P37" s="65" t="s">
        <v>88</v>
      </c>
      <c r="Q37" s="65" t="s">
        <v>88</v>
      </c>
      <c r="R37" s="65" t="s">
        <v>88</v>
      </c>
      <c r="S37" s="65" t="s">
        <v>88</v>
      </c>
    </row>
    <row r="38" spans="1:19" ht="18.399999999999999" customHeight="1" x14ac:dyDescent="0.25">
      <c r="A38" s="59" t="s">
        <v>37</v>
      </c>
      <c r="B38" s="65" t="s">
        <v>88</v>
      </c>
      <c r="C38" s="65" t="s">
        <v>88</v>
      </c>
      <c r="D38" s="65">
        <v>4</v>
      </c>
      <c r="E38" s="65" t="s">
        <v>88</v>
      </c>
      <c r="F38" s="65">
        <v>4</v>
      </c>
      <c r="G38" s="65" t="s">
        <v>88</v>
      </c>
      <c r="H38" s="65">
        <v>4</v>
      </c>
      <c r="I38" s="65" t="s">
        <v>88</v>
      </c>
      <c r="J38" s="65">
        <v>4</v>
      </c>
      <c r="K38" s="65" t="s">
        <v>88</v>
      </c>
      <c r="L38" s="65" t="s">
        <v>88</v>
      </c>
      <c r="M38" s="65" t="s">
        <v>88</v>
      </c>
      <c r="N38" s="65">
        <v>4</v>
      </c>
      <c r="O38" s="65" t="s">
        <v>88</v>
      </c>
      <c r="P38" s="65" t="s">
        <v>88</v>
      </c>
      <c r="Q38" s="65" t="s">
        <v>88</v>
      </c>
      <c r="R38" s="65" t="s">
        <v>88</v>
      </c>
      <c r="S38" s="65" t="s">
        <v>88</v>
      </c>
    </row>
    <row r="39" spans="1:19" ht="18.399999999999999" customHeight="1" x14ac:dyDescent="0.25">
      <c r="A39" s="60" t="s">
        <v>64</v>
      </c>
      <c r="B39" s="67"/>
      <c r="C39" s="67"/>
      <c r="D39" s="67"/>
      <c r="E39" s="67"/>
      <c r="F39" s="67"/>
      <c r="G39" s="68"/>
      <c r="H39" s="68"/>
      <c r="I39" s="68"/>
      <c r="J39" s="68"/>
      <c r="K39" s="68"/>
      <c r="L39" s="68"/>
      <c r="M39" s="68"/>
      <c r="N39" s="68"/>
      <c r="O39" s="68"/>
      <c r="P39" s="68"/>
      <c r="Q39" s="68"/>
      <c r="R39" s="68"/>
      <c r="S39" s="68"/>
    </row>
    <row r="40" spans="1:19" ht="18.399999999999999" customHeight="1" x14ac:dyDescent="0.25">
      <c r="A40" s="59" t="s">
        <v>36</v>
      </c>
      <c r="B40" s="65">
        <v>5</v>
      </c>
      <c r="C40" s="65">
        <v>5</v>
      </c>
      <c r="D40" s="65" t="s">
        <v>88</v>
      </c>
      <c r="E40" s="65">
        <v>5</v>
      </c>
      <c r="F40" s="65" t="s">
        <v>88</v>
      </c>
      <c r="G40" s="65" t="s">
        <v>88</v>
      </c>
      <c r="H40" s="65" t="s">
        <v>88</v>
      </c>
      <c r="I40" s="65" t="s">
        <v>88</v>
      </c>
      <c r="J40" s="66">
        <v>5</v>
      </c>
      <c r="K40" s="65" t="s">
        <v>88</v>
      </c>
      <c r="L40" s="66">
        <v>5</v>
      </c>
      <c r="M40" s="65" t="s">
        <v>88</v>
      </c>
      <c r="N40" s="65" t="s">
        <v>88</v>
      </c>
      <c r="O40" s="65" t="s">
        <v>88</v>
      </c>
      <c r="P40" s="65">
        <v>5</v>
      </c>
      <c r="Q40" s="65" t="s">
        <v>88</v>
      </c>
      <c r="R40" s="65" t="s">
        <v>88</v>
      </c>
      <c r="S40" s="65" t="s">
        <v>88</v>
      </c>
    </row>
    <row r="41" spans="1:19" ht="18.399999999999999" customHeight="1" x14ac:dyDescent="0.25">
      <c r="A41" s="60" t="s">
        <v>63</v>
      </c>
      <c r="B41" s="67"/>
      <c r="C41" s="67"/>
      <c r="D41" s="67"/>
      <c r="E41" s="67"/>
      <c r="F41" s="67"/>
      <c r="G41" s="68"/>
      <c r="H41" s="68"/>
      <c r="I41" s="68"/>
      <c r="J41" s="68"/>
      <c r="K41" s="68"/>
      <c r="L41" s="68"/>
      <c r="M41" s="68"/>
      <c r="N41" s="68"/>
      <c r="O41" s="68"/>
      <c r="P41" s="68"/>
      <c r="Q41" s="68"/>
      <c r="R41" s="68"/>
      <c r="S41" s="68"/>
    </row>
    <row r="42" spans="1:19" ht="18.399999999999999" customHeight="1" x14ac:dyDescent="0.25">
      <c r="A42" s="59" t="s">
        <v>30</v>
      </c>
      <c r="B42" s="65" t="s">
        <v>88</v>
      </c>
      <c r="C42" s="79">
        <v>4</v>
      </c>
      <c r="D42" s="79">
        <v>4</v>
      </c>
      <c r="E42" s="79">
        <v>4</v>
      </c>
      <c r="F42" s="65" t="s">
        <v>88</v>
      </c>
      <c r="G42" s="65" t="s">
        <v>88</v>
      </c>
      <c r="H42" s="65" t="s">
        <v>88</v>
      </c>
      <c r="I42" s="65" t="s">
        <v>88</v>
      </c>
      <c r="J42" s="65" t="s">
        <v>88</v>
      </c>
      <c r="K42" s="79">
        <v>4</v>
      </c>
      <c r="L42" s="65" t="s">
        <v>88</v>
      </c>
      <c r="M42" s="65" t="s">
        <v>88</v>
      </c>
      <c r="N42" s="65" t="s">
        <v>88</v>
      </c>
      <c r="O42" s="65" t="s">
        <v>88</v>
      </c>
      <c r="P42" s="65" t="s">
        <v>88</v>
      </c>
      <c r="Q42" s="65" t="s">
        <v>88</v>
      </c>
      <c r="R42" s="65" t="s">
        <v>88</v>
      </c>
      <c r="S42" s="65" t="s">
        <v>88</v>
      </c>
    </row>
    <row r="43" spans="1:19" ht="18.399999999999999" customHeight="1" x14ac:dyDescent="0.25">
      <c r="A43" s="59" t="s">
        <v>31</v>
      </c>
      <c r="B43" s="65" t="s">
        <v>88</v>
      </c>
      <c r="C43" s="65" t="s">
        <v>88</v>
      </c>
      <c r="D43" s="65" t="s">
        <v>88</v>
      </c>
      <c r="E43" s="65" t="s">
        <v>88</v>
      </c>
      <c r="F43" s="79">
        <v>4</v>
      </c>
      <c r="G43" s="65" t="s">
        <v>88</v>
      </c>
      <c r="H43" s="65" t="s">
        <v>88</v>
      </c>
      <c r="I43" s="79">
        <v>4</v>
      </c>
      <c r="J43" s="79">
        <v>4</v>
      </c>
      <c r="K43" s="65" t="s">
        <v>88</v>
      </c>
      <c r="L43" s="79">
        <v>4</v>
      </c>
      <c r="M43" s="65" t="s">
        <v>88</v>
      </c>
      <c r="N43" s="65" t="s">
        <v>88</v>
      </c>
      <c r="O43" s="65" t="s">
        <v>88</v>
      </c>
      <c r="P43" s="65" t="s">
        <v>88</v>
      </c>
      <c r="Q43" s="65" t="s">
        <v>88</v>
      </c>
      <c r="R43" s="65" t="s">
        <v>88</v>
      </c>
      <c r="S43" s="65" t="s">
        <v>88</v>
      </c>
    </row>
    <row r="44" spans="1:19" ht="18.399999999999999" customHeight="1" x14ac:dyDescent="0.25">
      <c r="A44" s="59" t="s">
        <v>32</v>
      </c>
      <c r="B44" s="65" t="s">
        <v>88</v>
      </c>
      <c r="C44" s="65" t="s">
        <v>88</v>
      </c>
      <c r="D44" s="65" t="s">
        <v>88</v>
      </c>
      <c r="E44" s="79">
        <v>3</v>
      </c>
      <c r="F44" s="79">
        <v>4</v>
      </c>
      <c r="G44" s="65" t="s">
        <v>88</v>
      </c>
      <c r="H44" s="79">
        <v>4</v>
      </c>
      <c r="I44" s="65" t="s">
        <v>88</v>
      </c>
      <c r="J44" s="65" t="s">
        <v>88</v>
      </c>
      <c r="K44" s="79">
        <v>3</v>
      </c>
      <c r="L44" s="65" t="s">
        <v>88</v>
      </c>
      <c r="M44" s="65" t="s">
        <v>88</v>
      </c>
      <c r="N44" s="65" t="s">
        <v>88</v>
      </c>
      <c r="O44" s="65" t="s">
        <v>88</v>
      </c>
      <c r="P44" s="65" t="s">
        <v>88</v>
      </c>
      <c r="Q44" s="65" t="s">
        <v>88</v>
      </c>
      <c r="R44" s="65" t="s">
        <v>88</v>
      </c>
      <c r="S44" s="65" t="s">
        <v>88</v>
      </c>
    </row>
    <row r="45" spans="1:19" ht="18.399999999999999" customHeight="1" x14ac:dyDescent="0.25">
      <c r="A45" s="59" t="s">
        <v>33</v>
      </c>
      <c r="B45" s="65" t="s">
        <v>88</v>
      </c>
      <c r="C45" s="65" t="s">
        <v>88</v>
      </c>
      <c r="D45" s="65" t="s">
        <v>88</v>
      </c>
      <c r="E45" s="79">
        <v>4</v>
      </c>
      <c r="F45" s="79">
        <v>3</v>
      </c>
      <c r="G45" s="65" t="s">
        <v>88</v>
      </c>
      <c r="H45" s="79">
        <v>4</v>
      </c>
      <c r="I45" s="65" t="s">
        <v>88</v>
      </c>
      <c r="J45" s="65" t="s">
        <v>88</v>
      </c>
      <c r="K45" s="79">
        <v>4</v>
      </c>
      <c r="L45" s="65" t="s">
        <v>88</v>
      </c>
      <c r="M45" s="65" t="s">
        <v>88</v>
      </c>
      <c r="N45" s="65" t="s">
        <v>88</v>
      </c>
      <c r="O45" s="65" t="s">
        <v>88</v>
      </c>
      <c r="P45" s="65" t="s">
        <v>88</v>
      </c>
      <c r="Q45" s="65" t="s">
        <v>88</v>
      </c>
      <c r="R45" s="65" t="s">
        <v>88</v>
      </c>
      <c r="S45" s="65" t="s">
        <v>88</v>
      </c>
    </row>
    <row r="46" spans="1:19" ht="18.399999999999999" customHeight="1" x14ac:dyDescent="0.25">
      <c r="A46" s="59" t="s">
        <v>34</v>
      </c>
      <c r="B46" s="65" t="s">
        <v>88</v>
      </c>
      <c r="C46" s="65" t="s">
        <v>88</v>
      </c>
      <c r="D46" s="79">
        <v>3</v>
      </c>
      <c r="E46" s="65" t="s">
        <v>88</v>
      </c>
      <c r="F46" s="65" t="s">
        <v>88</v>
      </c>
      <c r="G46" s="65" t="s">
        <v>88</v>
      </c>
      <c r="H46" s="79">
        <v>3</v>
      </c>
      <c r="I46" s="65" t="s">
        <v>88</v>
      </c>
      <c r="J46" s="65" t="s">
        <v>88</v>
      </c>
      <c r="K46" s="65" t="s">
        <v>88</v>
      </c>
      <c r="L46" s="65" t="s">
        <v>88</v>
      </c>
      <c r="M46" s="79">
        <v>3</v>
      </c>
      <c r="N46" s="65" t="s">
        <v>88</v>
      </c>
      <c r="O46" s="65" t="s">
        <v>88</v>
      </c>
      <c r="P46" s="65" t="s">
        <v>88</v>
      </c>
      <c r="Q46" s="65" t="s">
        <v>88</v>
      </c>
      <c r="R46" s="65" t="s">
        <v>88</v>
      </c>
      <c r="S46" s="65" t="s">
        <v>88</v>
      </c>
    </row>
    <row r="47" spans="1:19" ht="18.399999999999999" customHeight="1" x14ac:dyDescent="0.25">
      <c r="A47" s="59" t="s">
        <v>35</v>
      </c>
      <c r="B47" s="65" t="s">
        <v>88</v>
      </c>
      <c r="C47" s="65" t="s">
        <v>88</v>
      </c>
      <c r="D47" s="79">
        <v>3</v>
      </c>
      <c r="E47" s="65" t="s">
        <v>88</v>
      </c>
      <c r="F47" s="79">
        <v>4</v>
      </c>
      <c r="G47" s="65" t="s">
        <v>88</v>
      </c>
      <c r="H47" s="79">
        <v>4</v>
      </c>
      <c r="I47" s="65" t="s">
        <v>88</v>
      </c>
      <c r="J47" s="79">
        <v>4</v>
      </c>
      <c r="K47" s="65" t="s">
        <v>88</v>
      </c>
      <c r="L47" s="65" t="s">
        <v>88</v>
      </c>
      <c r="M47" s="65" t="s">
        <v>88</v>
      </c>
      <c r="N47" s="65" t="s">
        <v>88</v>
      </c>
      <c r="O47" s="65" t="s">
        <v>88</v>
      </c>
      <c r="P47" s="65" t="s">
        <v>88</v>
      </c>
      <c r="Q47" s="65" t="s">
        <v>88</v>
      </c>
      <c r="R47" s="65" t="s">
        <v>88</v>
      </c>
      <c r="S47" s="65" t="s">
        <v>88</v>
      </c>
    </row>
  </sheetData>
  <mergeCells count="1">
    <mergeCell ref="T1:X1"/>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1"/>
  <sheetViews>
    <sheetView zoomScale="110" zoomScaleNormal="110" workbookViewId="0">
      <selection activeCell="D10" sqref="D10"/>
    </sheetView>
  </sheetViews>
  <sheetFormatPr defaultRowHeight="15" x14ac:dyDescent="0.25"/>
  <cols>
    <col min="1" max="1" width="25.7109375" customWidth="1"/>
    <col min="2" max="21" width="11" customWidth="1"/>
  </cols>
  <sheetData>
    <row r="1" spans="1:26" ht="153.4" customHeight="1" x14ac:dyDescent="0.25">
      <c r="A1" s="71" t="s">
        <v>27</v>
      </c>
      <c r="B1" s="72" t="s">
        <v>132</v>
      </c>
      <c r="C1" s="72" t="s">
        <v>133</v>
      </c>
      <c r="D1" s="72" t="s">
        <v>134</v>
      </c>
      <c r="E1" s="72" t="s">
        <v>135</v>
      </c>
      <c r="F1" s="72" t="s">
        <v>136</v>
      </c>
      <c r="G1" s="72" t="s">
        <v>137</v>
      </c>
      <c r="H1" s="72" t="s">
        <v>138</v>
      </c>
      <c r="I1" s="72" t="s">
        <v>139</v>
      </c>
      <c r="J1" s="72" t="s">
        <v>140</v>
      </c>
      <c r="K1" s="72" t="s">
        <v>141</v>
      </c>
      <c r="L1" s="72" t="s">
        <v>142</v>
      </c>
      <c r="M1" s="72" t="s">
        <v>143</v>
      </c>
      <c r="N1" s="72" t="s">
        <v>144</v>
      </c>
      <c r="O1" s="72" t="s">
        <v>145</v>
      </c>
      <c r="P1" s="72" t="s">
        <v>146</v>
      </c>
      <c r="Q1" s="72" t="s">
        <v>187</v>
      </c>
      <c r="R1" s="72" t="s">
        <v>187</v>
      </c>
      <c r="S1" s="72" t="s">
        <v>187</v>
      </c>
      <c r="T1" s="72" t="s">
        <v>187</v>
      </c>
      <c r="U1" s="72" t="s">
        <v>187</v>
      </c>
      <c r="V1" s="102" t="s">
        <v>175</v>
      </c>
      <c r="W1" s="103"/>
      <c r="X1" s="103"/>
      <c r="Y1" s="103"/>
      <c r="Z1" s="103"/>
    </row>
    <row r="2" spans="1:26" ht="18.399999999999999" customHeight="1" x14ac:dyDescent="0.25">
      <c r="A2" s="60"/>
      <c r="B2" s="60"/>
      <c r="C2" s="60"/>
      <c r="D2" s="60"/>
      <c r="E2" s="60"/>
      <c r="F2" s="60"/>
      <c r="G2" s="61"/>
      <c r="H2" s="61"/>
      <c r="I2" s="61"/>
      <c r="J2" s="61"/>
      <c r="K2" s="61"/>
      <c r="L2" s="61"/>
      <c r="M2" s="61"/>
      <c r="N2" s="61"/>
      <c r="O2" s="61"/>
      <c r="P2" s="61"/>
      <c r="Q2" s="61"/>
      <c r="R2" s="61"/>
      <c r="S2" s="61"/>
      <c r="T2" s="61"/>
      <c r="U2" s="61"/>
    </row>
    <row r="3" spans="1:26" ht="18.399999999999999" customHeight="1" x14ac:dyDescent="0.25">
      <c r="A3" s="59" t="s">
        <v>57</v>
      </c>
      <c r="B3" s="65">
        <v>5</v>
      </c>
      <c r="C3" s="65">
        <v>5</v>
      </c>
      <c r="D3" s="65">
        <v>5</v>
      </c>
      <c r="E3" s="65">
        <v>5</v>
      </c>
      <c r="F3" s="65">
        <v>5</v>
      </c>
      <c r="G3" s="66">
        <v>5</v>
      </c>
      <c r="H3" s="66">
        <v>5</v>
      </c>
      <c r="I3" s="66">
        <v>5</v>
      </c>
      <c r="J3" s="66">
        <v>5</v>
      </c>
      <c r="K3" s="66">
        <v>5</v>
      </c>
      <c r="L3" s="66">
        <v>5</v>
      </c>
      <c r="M3" s="65">
        <v>5</v>
      </c>
      <c r="N3" s="65">
        <v>5</v>
      </c>
      <c r="O3" s="65">
        <v>5</v>
      </c>
      <c r="P3" s="65">
        <v>5</v>
      </c>
      <c r="Q3" s="65" t="s">
        <v>187</v>
      </c>
      <c r="R3" s="65" t="s">
        <v>187</v>
      </c>
      <c r="S3" s="65" t="s">
        <v>187</v>
      </c>
      <c r="T3" s="65" t="s">
        <v>187</v>
      </c>
      <c r="U3" s="65" t="s">
        <v>187</v>
      </c>
    </row>
    <row r="4" spans="1:26" ht="18.399999999999999" customHeight="1" x14ac:dyDescent="0.25">
      <c r="A4" s="59" t="s">
        <v>56</v>
      </c>
      <c r="B4" s="65">
        <v>4</v>
      </c>
      <c r="C4" s="65">
        <v>4</v>
      </c>
      <c r="D4" s="65">
        <v>4</v>
      </c>
      <c r="E4" s="65">
        <v>4</v>
      </c>
      <c r="F4" s="65">
        <v>4</v>
      </c>
      <c r="G4" s="66">
        <v>4</v>
      </c>
      <c r="H4" s="66">
        <v>4</v>
      </c>
      <c r="I4" s="66">
        <v>4</v>
      </c>
      <c r="J4" s="66">
        <v>4</v>
      </c>
      <c r="K4" s="66">
        <v>4</v>
      </c>
      <c r="L4" s="66">
        <v>4</v>
      </c>
      <c r="M4" s="65">
        <v>4</v>
      </c>
      <c r="N4" s="65">
        <v>4</v>
      </c>
      <c r="O4" s="65">
        <v>4</v>
      </c>
      <c r="P4" s="65">
        <v>4</v>
      </c>
      <c r="Q4" s="65" t="s">
        <v>187</v>
      </c>
      <c r="R4" s="65" t="s">
        <v>187</v>
      </c>
      <c r="S4" s="65" t="s">
        <v>187</v>
      </c>
      <c r="T4" s="65" t="s">
        <v>187</v>
      </c>
      <c r="U4" s="65" t="s">
        <v>187</v>
      </c>
    </row>
    <row r="5" spans="1:26" ht="18.399999999999999" customHeight="1" x14ac:dyDescent="0.25">
      <c r="A5" s="59" t="s">
        <v>55</v>
      </c>
      <c r="B5" s="65">
        <v>2</v>
      </c>
      <c r="C5" s="65">
        <v>2</v>
      </c>
      <c r="D5" s="65">
        <v>2</v>
      </c>
      <c r="E5" s="65">
        <v>2</v>
      </c>
      <c r="F5" s="65">
        <v>2</v>
      </c>
      <c r="G5" s="65">
        <v>2</v>
      </c>
      <c r="H5" s="65">
        <v>2</v>
      </c>
      <c r="I5" s="65">
        <v>2</v>
      </c>
      <c r="J5" s="65">
        <v>2</v>
      </c>
      <c r="K5" s="65">
        <v>2</v>
      </c>
      <c r="L5" s="65">
        <v>2</v>
      </c>
      <c r="M5" s="65">
        <v>2</v>
      </c>
      <c r="N5" s="65">
        <v>2</v>
      </c>
      <c r="O5" s="65">
        <v>2</v>
      </c>
      <c r="P5" s="65">
        <v>2</v>
      </c>
      <c r="Q5" s="65" t="s">
        <v>187</v>
      </c>
      <c r="R5" s="65" t="s">
        <v>187</v>
      </c>
      <c r="S5" s="65" t="s">
        <v>187</v>
      </c>
      <c r="T5" s="65" t="s">
        <v>187</v>
      </c>
      <c r="U5" s="65" t="s">
        <v>187</v>
      </c>
    </row>
    <row r="6" spans="1:26" ht="18.399999999999999" customHeight="1" x14ac:dyDescent="0.25">
      <c r="A6" s="59" t="s">
        <v>54</v>
      </c>
      <c r="B6" s="65">
        <v>3</v>
      </c>
      <c r="C6" s="65">
        <v>3</v>
      </c>
      <c r="D6" s="65">
        <v>3</v>
      </c>
      <c r="E6" s="65">
        <v>3</v>
      </c>
      <c r="F6" s="65">
        <v>3</v>
      </c>
      <c r="G6" s="65">
        <v>3</v>
      </c>
      <c r="H6" s="65">
        <v>3</v>
      </c>
      <c r="I6" s="65">
        <v>3</v>
      </c>
      <c r="J6" s="65">
        <v>3</v>
      </c>
      <c r="K6" s="65">
        <v>3</v>
      </c>
      <c r="L6" s="65">
        <v>3</v>
      </c>
      <c r="M6" s="65">
        <v>3</v>
      </c>
      <c r="N6" s="65">
        <v>3</v>
      </c>
      <c r="O6" s="65">
        <v>3</v>
      </c>
      <c r="P6" s="65">
        <v>3</v>
      </c>
      <c r="Q6" s="65" t="s">
        <v>187</v>
      </c>
      <c r="R6" s="65" t="s">
        <v>187</v>
      </c>
      <c r="S6" s="65" t="s">
        <v>187</v>
      </c>
      <c r="T6" s="65" t="s">
        <v>187</v>
      </c>
      <c r="U6" s="65" t="s">
        <v>187</v>
      </c>
    </row>
    <row r="7" spans="1:26" ht="18.399999999999999" customHeight="1" x14ac:dyDescent="0.25">
      <c r="A7" s="59" t="s">
        <v>53</v>
      </c>
      <c r="B7" s="65">
        <v>4</v>
      </c>
      <c r="C7" s="65">
        <v>4</v>
      </c>
      <c r="D7" s="65">
        <v>4</v>
      </c>
      <c r="E7" s="65">
        <v>4</v>
      </c>
      <c r="F7" s="65">
        <v>4</v>
      </c>
      <c r="G7" s="66">
        <v>4</v>
      </c>
      <c r="H7" s="66">
        <v>4</v>
      </c>
      <c r="I7" s="66">
        <v>4</v>
      </c>
      <c r="J7" s="66">
        <v>4</v>
      </c>
      <c r="K7" s="66">
        <v>4</v>
      </c>
      <c r="L7" s="66">
        <v>4</v>
      </c>
      <c r="M7" s="65">
        <v>4</v>
      </c>
      <c r="N7" s="65">
        <v>4</v>
      </c>
      <c r="O7" s="65">
        <v>4</v>
      </c>
      <c r="P7" s="65">
        <v>4</v>
      </c>
      <c r="Q7" s="65" t="s">
        <v>187</v>
      </c>
      <c r="R7" s="65" t="s">
        <v>187</v>
      </c>
      <c r="S7" s="65" t="s">
        <v>187</v>
      </c>
      <c r="T7" s="65" t="s">
        <v>187</v>
      </c>
      <c r="U7" s="65" t="s">
        <v>187</v>
      </c>
    </row>
    <row r="8" spans="1:26" ht="18.399999999999999" customHeight="1" x14ac:dyDescent="0.25">
      <c r="A8" s="59" t="s">
        <v>52</v>
      </c>
      <c r="B8" s="65">
        <v>4</v>
      </c>
      <c r="C8" s="65">
        <v>4</v>
      </c>
      <c r="D8" s="65">
        <v>4</v>
      </c>
      <c r="E8" s="65">
        <v>4</v>
      </c>
      <c r="F8" s="65">
        <v>4</v>
      </c>
      <c r="G8" s="66">
        <v>4</v>
      </c>
      <c r="H8" s="66">
        <v>4</v>
      </c>
      <c r="I8" s="66">
        <v>4</v>
      </c>
      <c r="J8" s="66">
        <v>4</v>
      </c>
      <c r="K8" s="66">
        <v>4</v>
      </c>
      <c r="L8" s="66">
        <v>4</v>
      </c>
      <c r="M8" s="65">
        <v>4</v>
      </c>
      <c r="N8" s="65">
        <v>4</v>
      </c>
      <c r="O8" s="65">
        <v>4</v>
      </c>
      <c r="P8" s="65">
        <v>4</v>
      </c>
      <c r="Q8" s="65" t="s">
        <v>187</v>
      </c>
      <c r="R8" s="65" t="s">
        <v>187</v>
      </c>
      <c r="S8" s="65" t="s">
        <v>187</v>
      </c>
      <c r="T8" s="65" t="s">
        <v>187</v>
      </c>
      <c r="U8" s="65" t="s">
        <v>187</v>
      </c>
    </row>
    <row r="9" spans="1:26" ht="18.399999999999999" customHeight="1" x14ac:dyDescent="0.25">
      <c r="A9" s="59" t="s">
        <v>51</v>
      </c>
      <c r="B9" s="65">
        <v>1</v>
      </c>
      <c r="C9" s="65">
        <v>1</v>
      </c>
      <c r="D9" s="65">
        <v>1</v>
      </c>
      <c r="E9" s="65">
        <v>1</v>
      </c>
      <c r="F9" s="65">
        <v>1</v>
      </c>
      <c r="G9" s="65">
        <v>1</v>
      </c>
      <c r="H9" s="65">
        <v>1</v>
      </c>
      <c r="I9" s="65">
        <v>1</v>
      </c>
      <c r="J9" s="65">
        <v>1</v>
      </c>
      <c r="K9" s="65">
        <v>1</v>
      </c>
      <c r="L9" s="65">
        <v>1</v>
      </c>
      <c r="M9" s="65">
        <v>1</v>
      </c>
      <c r="N9" s="65">
        <v>1</v>
      </c>
      <c r="O9" s="65">
        <v>1</v>
      </c>
      <c r="P9" s="65">
        <v>1</v>
      </c>
      <c r="Q9" s="65" t="s">
        <v>187</v>
      </c>
      <c r="R9" s="65" t="s">
        <v>187</v>
      </c>
      <c r="S9" s="65" t="s">
        <v>187</v>
      </c>
      <c r="T9" s="65" t="s">
        <v>187</v>
      </c>
      <c r="U9" s="65" t="s">
        <v>187</v>
      </c>
    </row>
    <row r="10" spans="1:26" ht="18.399999999999999" customHeight="1" x14ac:dyDescent="0.25">
      <c r="A10" s="59" t="s">
        <v>50</v>
      </c>
      <c r="B10" s="65">
        <v>2</v>
      </c>
      <c r="C10" s="65">
        <v>2</v>
      </c>
      <c r="D10" s="65">
        <v>2</v>
      </c>
      <c r="E10" s="65">
        <v>2</v>
      </c>
      <c r="F10" s="65">
        <v>2</v>
      </c>
      <c r="G10" s="65">
        <v>2</v>
      </c>
      <c r="H10" s="65">
        <v>2</v>
      </c>
      <c r="I10" s="65">
        <v>2</v>
      </c>
      <c r="J10" s="65">
        <v>2</v>
      </c>
      <c r="K10" s="65">
        <v>2</v>
      </c>
      <c r="L10" s="65">
        <v>2</v>
      </c>
      <c r="M10" s="65">
        <v>2</v>
      </c>
      <c r="N10" s="65">
        <v>2</v>
      </c>
      <c r="O10" s="65">
        <v>2</v>
      </c>
      <c r="P10" s="65">
        <v>2</v>
      </c>
      <c r="Q10" s="65" t="s">
        <v>187</v>
      </c>
      <c r="R10" s="65" t="s">
        <v>187</v>
      </c>
      <c r="S10" s="65" t="s">
        <v>187</v>
      </c>
      <c r="T10" s="65" t="s">
        <v>187</v>
      </c>
      <c r="U10" s="65" t="s">
        <v>187</v>
      </c>
    </row>
    <row r="11" spans="1:26" ht="18.399999999999999" customHeight="1" x14ac:dyDescent="0.25">
      <c r="A11" s="59" t="s">
        <v>49</v>
      </c>
      <c r="B11" s="65">
        <v>1</v>
      </c>
      <c r="C11" s="65">
        <v>1</v>
      </c>
      <c r="D11" s="65">
        <v>1</v>
      </c>
      <c r="E11" s="65">
        <v>1</v>
      </c>
      <c r="F11" s="65">
        <v>1</v>
      </c>
      <c r="G11" s="65">
        <v>1</v>
      </c>
      <c r="H11" s="65">
        <v>1</v>
      </c>
      <c r="I11" s="65">
        <v>1</v>
      </c>
      <c r="J11" s="65">
        <v>1</v>
      </c>
      <c r="K11" s="65">
        <v>1</v>
      </c>
      <c r="L11" s="65">
        <v>1</v>
      </c>
      <c r="M11" s="65">
        <v>1</v>
      </c>
      <c r="N11" s="65">
        <v>1</v>
      </c>
      <c r="O11" s="65">
        <v>1</v>
      </c>
      <c r="P11" s="65">
        <v>1</v>
      </c>
      <c r="Q11" s="65" t="s">
        <v>187</v>
      </c>
      <c r="R11" s="65" t="s">
        <v>187</v>
      </c>
      <c r="S11" s="65" t="s">
        <v>187</v>
      </c>
      <c r="T11" s="65" t="s">
        <v>187</v>
      </c>
      <c r="U11" s="65" t="s">
        <v>187</v>
      </c>
    </row>
    <row r="12" spans="1:26" ht="150" customHeight="1" x14ac:dyDescent="0.25">
      <c r="A12" s="71" t="s">
        <v>28</v>
      </c>
      <c r="B12" s="72" t="s">
        <v>147</v>
      </c>
      <c r="C12" s="72" t="s">
        <v>148</v>
      </c>
      <c r="D12" s="72" t="s">
        <v>149</v>
      </c>
      <c r="E12" s="72" t="s">
        <v>150</v>
      </c>
      <c r="F12" s="72" t="s">
        <v>151</v>
      </c>
      <c r="G12" s="72" t="s">
        <v>152</v>
      </c>
      <c r="H12" s="72" t="s">
        <v>153</v>
      </c>
      <c r="I12" s="72" t="s">
        <v>154</v>
      </c>
      <c r="J12" s="72" t="s">
        <v>155</v>
      </c>
      <c r="K12" s="72" t="s">
        <v>156</v>
      </c>
      <c r="L12" s="72" t="s">
        <v>157</v>
      </c>
      <c r="M12" s="72" t="s">
        <v>158</v>
      </c>
      <c r="N12" s="72" t="s">
        <v>159</v>
      </c>
      <c r="O12" s="72" t="s">
        <v>160</v>
      </c>
      <c r="P12" s="72" t="s">
        <v>187</v>
      </c>
      <c r="Q12" s="72" t="s">
        <v>187</v>
      </c>
      <c r="R12" s="72" t="s">
        <v>187</v>
      </c>
      <c r="S12" s="72" t="s">
        <v>187</v>
      </c>
      <c r="T12" s="72" t="s">
        <v>187</v>
      </c>
      <c r="U12" s="72" t="s">
        <v>187</v>
      </c>
    </row>
    <row r="13" spans="1:26" ht="18.399999999999999" customHeight="1" x14ac:dyDescent="0.25">
      <c r="A13" s="60"/>
      <c r="B13" s="67"/>
      <c r="C13" s="67"/>
      <c r="D13" s="67"/>
      <c r="E13" s="67"/>
      <c r="F13" s="67"/>
      <c r="G13" s="68"/>
      <c r="H13" s="68"/>
      <c r="I13" s="68"/>
      <c r="J13" s="68"/>
      <c r="K13" s="68"/>
      <c r="L13" s="68"/>
      <c r="M13" s="68"/>
      <c r="N13" s="68"/>
      <c r="O13" s="68"/>
      <c r="P13" s="68"/>
      <c r="Q13" s="68"/>
      <c r="R13" s="68"/>
      <c r="S13" s="68"/>
      <c r="T13" s="68"/>
      <c r="U13" s="68"/>
    </row>
    <row r="14" spans="1:26" ht="18.399999999999999" customHeight="1" x14ac:dyDescent="0.25">
      <c r="A14" s="51" t="s">
        <v>92</v>
      </c>
      <c r="B14" s="65">
        <v>5</v>
      </c>
      <c r="C14" s="65">
        <v>5</v>
      </c>
      <c r="D14" s="65">
        <v>5</v>
      </c>
      <c r="E14" s="65">
        <v>5</v>
      </c>
      <c r="F14" s="65">
        <v>5</v>
      </c>
      <c r="G14" s="66">
        <v>5</v>
      </c>
      <c r="H14" s="66">
        <v>5</v>
      </c>
      <c r="I14" s="66">
        <v>5</v>
      </c>
      <c r="J14" s="66">
        <v>5</v>
      </c>
      <c r="K14" s="66">
        <v>5</v>
      </c>
      <c r="L14" s="66">
        <v>5</v>
      </c>
      <c r="M14" s="65">
        <v>5</v>
      </c>
      <c r="N14" s="65">
        <v>5</v>
      </c>
      <c r="O14" s="65">
        <v>5</v>
      </c>
      <c r="P14" s="65" t="s">
        <v>187</v>
      </c>
      <c r="Q14" s="65" t="s">
        <v>187</v>
      </c>
      <c r="R14" s="65" t="s">
        <v>187</v>
      </c>
      <c r="S14" s="65" t="s">
        <v>187</v>
      </c>
      <c r="T14" s="65" t="s">
        <v>187</v>
      </c>
      <c r="U14" s="65" t="s">
        <v>187</v>
      </c>
    </row>
    <row r="15" spans="1:26" ht="18.399999999999999" customHeight="1" x14ac:dyDescent="0.25">
      <c r="A15" s="51" t="s">
        <v>93</v>
      </c>
      <c r="B15" s="65">
        <v>4</v>
      </c>
      <c r="C15" s="65">
        <v>4</v>
      </c>
      <c r="D15" s="65">
        <v>4</v>
      </c>
      <c r="E15" s="65">
        <v>4</v>
      </c>
      <c r="F15" s="65">
        <v>4</v>
      </c>
      <c r="G15" s="66">
        <v>4</v>
      </c>
      <c r="H15" s="66">
        <v>4</v>
      </c>
      <c r="I15" s="66">
        <v>4</v>
      </c>
      <c r="J15" s="66">
        <v>4</v>
      </c>
      <c r="K15" s="66">
        <v>4</v>
      </c>
      <c r="L15" s="66">
        <v>4</v>
      </c>
      <c r="M15" s="65">
        <v>4</v>
      </c>
      <c r="N15" s="65">
        <v>4</v>
      </c>
      <c r="O15" s="65">
        <v>4</v>
      </c>
      <c r="P15" s="65" t="s">
        <v>187</v>
      </c>
      <c r="Q15" s="65" t="s">
        <v>187</v>
      </c>
      <c r="R15" s="65" t="s">
        <v>187</v>
      </c>
      <c r="S15" s="65" t="s">
        <v>187</v>
      </c>
      <c r="T15" s="65" t="s">
        <v>187</v>
      </c>
      <c r="U15" s="65" t="s">
        <v>187</v>
      </c>
    </row>
    <row r="16" spans="1:26" ht="18.399999999999999" customHeight="1" x14ac:dyDescent="0.25">
      <c r="A16" s="51" t="s">
        <v>94</v>
      </c>
      <c r="B16" s="65">
        <v>2</v>
      </c>
      <c r="C16" s="65">
        <v>2</v>
      </c>
      <c r="D16" s="65">
        <v>2</v>
      </c>
      <c r="E16" s="65">
        <v>2</v>
      </c>
      <c r="F16" s="65">
        <v>2</v>
      </c>
      <c r="G16" s="65">
        <v>2</v>
      </c>
      <c r="H16" s="65">
        <v>2</v>
      </c>
      <c r="I16" s="65">
        <v>2</v>
      </c>
      <c r="J16" s="65">
        <v>2</v>
      </c>
      <c r="K16" s="65">
        <v>2</v>
      </c>
      <c r="L16" s="65">
        <v>2</v>
      </c>
      <c r="M16" s="65">
        <v>2</v>
      </c>
      <c r="N16" s="65">
        <v>2</v>
      </c>
      <c r="O16" s="65">
        <v>2</v>
      </c>
      <c r="P16" s="65" t="s">
        <v>187</v>
      </c>
      <c r="Q16" s="65" t="s">
        <v>187</v>
      </c>
      <c r="R16" s="65" t="s">
        <v>187</v>
      </c>
      <c r="S16" s="65" t="s">
        <v>187</v>
      </c>
      <c r="T16" s="65" t="s">
        <v>187</v>
      </c>
      <c r="U16" s="65" t="s">
        <v>187</v>
      </c>
    </row>
    <row r="17" spans="1:21" ht="18.399999999999999" customHeight="1" x14ac:dyDescent="0.25">
      <c r="A17" s="51" t="s">
        <v>95</v>
      </c>
      <c r="B17" s="65">
        <v>3</v>
      </c>
      <c r="C17" s="65">
        <v>3</v>
      </c>
      <c r="D17" s="65">
        <v>3</v>
      </c>
      <c r="E17" s="65">
        <v>3</v>
      </c>
      <c r="F17" s="65">
        <v>3</v>
      </c>
      <c r="G17" s="65">
        <v>3</v>
      </c>
      <c r="H17" s="65">
        <v>3</v>
      </c>
      <c r="I17" s="65">
        <v>3</v>
      </c>
      <c r="J17" s="65">
        <v>3</v>
      </c>
      <c r="K17" s="65">
        <v>3</v>
      </c>
      <c r="L17" s="65">
        <v>3</v>
      </c>
      <c r="M17" s="65">
        <v>3</v>
      </c>
      <c r="N17" s="65">
        <v>3</v>
      </c>
      <c r="O17" s="65">
        <v>3</v>
      </c>
      <c r="P17" s="65" t="s">
        <v>187</v>
      </c>
      <c r="Q17" s="65" t="s">
        <v>187</v>
      </c>
      <c r="R17" s="65" t="s">
        <v>187</v>
      </c>
      <c r="S17" s="65" t="s">
        <v>187</v>
      </c>
      <c r="T17" s="65" t="s">
        <v>187</v>
      </c>
      <c r="U17" s="65" t="s">
        <v>187</v>
      </c>
    </row>
    <row r="18" spans="1:21" ht="18.399999999999999" customHeight="1" x14ac:dyDescent="0.25">
      <c r="A18" s="51" t="s">
        <v>96</v>
      </c>
      <c r="B18" s="65">
        <v>4</v>
      </c>
      <c r="C18" s="65">
        <v>4</v>
      </c>
      <c r="D18" s="65">
        <v>4</v>
      </c>
      <c r="E18" s="65">
        <v>4</v>
      </c>
      <c r="F18" s="65">
        <v>4</v>
      </c>
      <c r="G18" s="66">
        <v>4</v>
      </c>
      <c r="H18" s="66">
        <v>4</v>
      </c>
      <c r="I18" s="66">
        <v>4</v>
      </c>
      <c r="J18" s="66">
        <v>4</v>
      </c>
      <c r="K18" s="66">
        <v>4</v>
      </c>
      <c r="L18" s="66">
        <v>4</v>
      </c>
      <c r="M18" s="65">
        <v>4</v>
      </c>
      <c r="N18" s="65">
        <v>4</v>
      </c>
      <c r="O18" s="65">
        <v>4</v>
      </c>
      <c r="P18" s="65" t="s">
        <v>187</v>
      </c>
      <c r="Q18" s="65" t="s">
        <v>187</v>
      </c>
      <c r="R18" s="65" t="s">
        <v>187</v>
      </c>
      <c r="S18" s="65" t="s">
        <v>187</v>
      </c>
      <c r="T18" s="65" t="s">
        <v>187</v>
      </c>
      <c r="U18" s="65" t="s">
        <v>187</v>
      </c>
    </row>
    <row r="19" spans="1:21" ht="18.399999999999999" customHeight="1" x14ac:dyDescent="0.25">
      <c r="A19" s="51" t="s">
        <v>97</v>
      </c>
      <c r="B19" s="65">
        <v>4</v>
      </c>
      <c r="C19" s="65">
        <v>4</v>
      </c>
      <c r="D19" s="65">
        <v>4</v>
      </c>
      <c r="E19" s="65">
        <v>4</v>
      </c>
      <c r="F19" s="65">
        <v>4</v>
      </c>
      <c r="G19" s="66">
        <v>4</v>
      </c>
      <c r="H19" s="66">
        <v>4</v>
      </c>
      <c r="I19" s="66">
        <v>4</v>
      </c>
      <c r="J19" s="66">
        <v>4</v>
      </c>
      <c r="K19" s="66">
        <v>4</v>
      </c>
      <c r="L19" s="66">
        <v>4</v>
      </c>
      <c r="M19" s="65">
        <v>4</v>
      </c>
      <c r="N19" s="65">
        <v>4</v>
      </c>
      <c r="O19" s="65">
        <v>4</v>
      </c>
      <c r="P19" s="65" t="s">
        <v>187</v>
      </c>
      <c r="Q19" s="65" t="s">
        <v>187</v>
      </c>
      <c r="R19" s="65" t="s">
        <v>187</v>
      </c>
      <c r="S19" s="65" t="s">
        <v>187</v>
      </c>
      <c r="T19" s="65" t="s">
        <v>187</v>
      </c>
      <c r="U19" s="65" t="s">
        <v>187</v>
      </c>
    </row>
    <row r="20" spans="1:21" ht="18.399999999999999" customHeight="1" x14ac:dyDescent="0.25">
      <c r="A20" s="51" t="s">
        <v>98</v>
      </c>
      <c r="B20" s="65">
        <v>2</v>
      </c>
      <c r="C20" s="65">
        <v>2</v>
      </c>
      <c r="D20" s="65">
        <v>2</v>
      </c>
      <c r="E20" s="65">
        <v>2</v>
      </c>
      <c r="F20" s="65">
        <v>2</v>
      </c>
      <c r="G20" s="65">
        <v>2</v>
      </c>
      <c r="H20" s="65">
        <v>2</v>
      </c>
      <c r="I20" s="65">
        <v>2</v>
      </c>
      <c r="J20" s="65">
        <v>2</v>
      </c>
      <c r="K20" s="65">
        <v>2</v>
      </c>
      <c r="L20" s="65">
        <v>2</v>
      </c>
      <c r="M20" s="65">
        <v>2</v>
      </c>
      <c r="N20" s="65">
        <v>2</v>
      </c>
      <c r="O20" s="65">
        <v>2</v>
      </c>
      <c r="P20" s="65" t="s">
        <v>187</v>
      </c>
      <c r="Q20" s="65" t="s">
        <v>187</v>
      </c>
      <c r="R20" s="65" t="s">
        <v>187</v>
      </c>
      <c r="S20" s="65" t="s">
        <v>187</v>
      </c>
      <c r="T20" s="65" t="s">
        <v>187</v>
      </c>
      <c r="U20" s="65" t="s">
        <v>187</v>
      </c>
    </row>
    <row r="21" spans="1:21" ht="18.399999999999999" customHeight="1" x14ac:dyDescent="0.25">
      <c r="A21" s="51" t="s">
        <v>99</v>
      </c>
      <c r="B21" s="65">
        <v>3</v>
      </c>
      <c r="C21" s="65">
        <v>3</v>
      </c>
      <c r="D21" s="65">
        <v>3</v>
      </c>
      <c r="E21" s="65">
        <v>3</v>
      </c>
      <c r="F21" s="65">
        <v>3</v>
      </c>
      <c r="G21" s="65">
        <v>3</v>
      </c>
      <c r="H21" s="65">
        <v>3</v>
      </c>
      <c r="I21" s="65">
        <v>3</v>
      </c>
      <c r="J21" s="65">
        <v>4</v>
      </c>
      <c r="K21" s="65">
        <v>3</v>
      </c>
      <c r="L21" s="65">
        <v>3</v>
      </c>
      <c r="M21" s="65">
        <v>3</v>
      </c>
      <c r="N21" s="65">
        <v>3</v>
      </c>
      <c r="O21" s="65">
        <v>3</v>
      </c>
      <c r="P21" s="65" t="s">
        <v>187</v>
      </c>
      <c r="Q21" s="65" t="s">
        <v>187</v>
      </c>
      <c r="R21" s="65" t="s">
        <v>187</v>
      </c>
      <c r="S21" s="65" t="s">
        <v>187</v>
      </c>
      <c r="T21" s="65" t="s">
        <v>187</v>
      </c>
      <c r="U21" s="65" t="s">
        <v>187</v>
      </c>
    </row>
    <row r="22" spans="1:21" ht="18.399999999999999" customHeight="1" x14ac:dyDescent="0.25">
      <c r="A22" s="51" t="s">
        <v>100</v>
      </c>
      <c r="B22" s="65">
        <v>4</v>
      </c>
      <c r="C22" s="65">
        <v>4</v>
      </c>
      <c r="D22" s="65">
        <v>4</v>
      </c>
      <c r="E22" s="65">
        <v>4</v>
      </c>
      <c r="F22" s="65">
        <v>4</v>
      </c>
      <c r="G22" s="66">
        <v>4</v>
      </c>
      <c r="H22" s="66">
        <v>4</v>
      </c>
      <c r="I22" s="66">
        <v>4</v>
      </c>
      <c r="J22" s="66">
        <v>4</v>
      </c>
      <c r="K22" s="66">
        <v>4</v>
      </c>
      <c r="L22" s="66">
        <v>4</v>
      </c>
      <c r="M22" s="65">
        <v>4</v>
      </c>
      <c r="N22" s="65">
        <v>4</v>
      </c>
      <c r="O22" s="65">
        <v>4</v>
      </c>
      <c r="P22" s="65" t="s">
        <v>187</v>
      </c>
      <c r="Q22" s="65" t="s">
        <v>187</v>
      </c>
      <c r="R22" s="65" t="s">
        <v>187</v>
      </c>
      <c r="S22" s="65" t="s">
        <v>187</v>
      </c>
      <c r="T22" s="65" t="s">
        <v>187</v>
      </c>
      <c r="U22" s="65" t="s">
        <v>187</v>
      </c>
    </row>
    <row r="23" spans="1:21" ht="18.399999999999999" customHeight="1" x14ac:dyDescent="0.25">
      <c r="A23" s="51" t="s">
        <v>101</v>
      </c>
      <c r="B23" s="65">
        <v>4</v>
      </c>
      <c r="C23" s="65">
        <v>4</v>
      </c>
      <c r="D23" s="65">
        <v>4</v>
      </c>
      <c r="E23" s="65">
        <v>4</v>
      </c>
      <c r="F23" s="65">
        <v>4</v>
      </c>
      <c r="G23" s="66">
        <v>4</v>
      </c>
      <c r="H23" s="66">
        <v>4</v>
      </c>
      <c r="I23" s="66">
        <v>4</v>
      </c>
      <c r="J23" s="66">
        <v>4</v>
      </c>
      <c r="K23" s="66">
        <v>4</v>
      </c>
      <c r="L23" s="66">
        <v>4</v>
      </c>
      <c r="M23" s="65">
        <v>4</v>
      </c>
      <c r="N23" s="65">
        <v>4</v>
      </c>
      <c r="O23" s="65">
        <v>4</v>
      </c>
      <c r="P23" s="65" t="s">
        <v>187</v>
      </c>
      <c r="Q23" s="65" t="s">
        <v>187</v>
      </c>
      <c r="R23" s="65" t="s">
        <v>187</v>
      </c>
      <c r="S23" s="65" t="s">
        <v>187</v>
      </c>
      <c r="T23" s="65" t="s">
        <v>187</v>
      </c>
      <c r="U23" s="65" t="s">
        <v>187</v>
      </c>
    </row>
    <row r="24" spans="1:21" ht="18.399999999999999" customHeight="1" x14ac:dyDescent="0.25">
      <c r="A24" s="51" t="s">
        <v>102</v>
      </c>
      <c r="B24" s="65">
        <v>1</v>
      </c>
      <c r="C24" s="65">
        <v>1</v>
      </c>
      <c r="D24" s="65">
        <v>1</v>
      </c>
      <c r="E24" s="65">
        <v>1</v>
      </c>
      <c r="F24" s="65">
        <v>1</v>
      </c>
      <c r="G24" s="65">
        <v>1</v>
      </c>
      <c r="H24" s="65">
        <v>1</v>
      </c>
      <c r="I24" s="65">
        <v>1</v>
      </c>
      <c r="J24" s="65">
        <v>1</v>
      </c>
      <c r="K24" s="65">
        <v>1</v>
      </c>
      <c r="L24" s="65">
        <v>1</v>
      </c>
      <c r="M24" s="65">
        <v>1</v>
      </c>
      <c r="N24" s="65">
        <v>1</v>
      </c>
      <c r="O24" s="65">
        <v>1</v>
      </c>
      <c r="P24" s="65" t="s">
        <v>187</v>
      </c>
      <c r="Q24" s="65" t="s">
        <v>187</v>
      </c>
      <c r="R24" s="65" t="s">
        <v>187</v>
      </c>
      <c r="S24" s="65" t="s">
        <v>187</v>
      </c>
      <c r="T24" s="65" t="s">
        <v>187</v>
      </c>
      <c r="U24" s="65" t="s">
        <v>187</v>
      </c>
    </row>
    <row r="25" spans="1:21" ht="18.399999999999999" customHeight="1" x14ac:dyDescent="0.25">
      <c r="A25" s="51" t="s">
        <v>103</v>
      </c>
      <c r="B25" s="65">
        <v>2</v>
      </c>
      <c r="C25" s="65">
        <v>2</v>
      </c>
      <c r="D25" s="65">
        <v>2</v>
      </c>
      <c r="E25" s="65">
        <v>2</v>
      </c>
      <c r="F25" s="65">
        <v>2</v>
      </c>
      <c r="G25" s="65">
        <v>2</v>
      </c>
      <c r="H25" s="65">
        <v>2</v>
      </c>
      <c r="I25" s="65">
        <v>2</v>
      </c>
      <c r="J25" s="65">
        <v>2</v>
      </c>
      <c r="K25" s="65">
        <v>2</v>
      </c>
      <c r="L25" s="65">
        <v>2</v>
      </c>
      <c r="M25" s="65">
        <v>2</v>
      </c>
      <c r="N25" s="65">
        <v>2</v>
      </c>
      <c r="O25" s="65">
        <v>2</v>
      </c>
      <c r="P25" s="65" t="s">
        <v>187</v>
      </c>
      <c r="Q25" s="65" t="s">
        <v>187</v>
      </c>
      <c r="R25" s="65" t="s">
        <v>187</v>
      </c>
      <c r="S25" s="65" t="s">
        <v>187</v>
      </c>
      <c r="T25" s="65" t="s">
        <v>187</v>
      </c>
      <c r="U25" s="65" t="s">
        <v>187</v>
      </c>
    </row>
    <row r="26" spans="1:21" ht="18.399999999999999" customHeight="1" x14ac:dyDescent="0.25">
      <c r="A26" s="51" t="s">
        <v>48</v>
      </c>
      <c r="B26" s="65">
        <v>1</v>
      </c>
      <c r="C26" s="65">
        <v>1</v>
      </c>
      <c r="D26" s="65">
        <v>1</v>
      </c>
      <c r="E26" s="65">
        <v>1</v>
      </c>
      <c r="F26" s="65">
        <v>1</v>
      </c>
      <c r="G26" s="65">
        <v>1</v>
      </c>
      <c r="H26" s="65">
        <v>1</v>
      </c>
      <c r="I26" s="65">
        <v>1</v>
      </c>
      <c r="J26" s="65">
        <v>1</v>
      </c>
      <c r="K26" s="65">
        <v>1</v>
      </c>
      <c r="L26" s="65">
        <v>1</v>
      </c>
      <c r="M26" s="65">
        <v>1</v>
      </c>
      <c r="N26" s="65">
        <v>1</v>
      </c>
      <c r="O26" s="65">
        <v>1</v>
      </c>
      <c r="P26" s="65" t="s">
        <v>187</v>
      </c>
      <c r="Q26" s="65" t="s">
        <v>187</v>
      </c>
      <c r="R26" s="65" t="s">
        <v>187</v>
      </c>
      <c r="S26" s="65" t="s">
        <v>187</v>
      </c>
      <c r="T26" s="65" t="s">
        <v>187</v>
      </c>
      <c r="U26" s="65" t="s">
        <v>187</v>
      </c>
    </row>
    <row r="27" spans="1:21" ht="150" customHeight="1" x14ac:dyDescent="0.25">
      <c r="A27" s="71" t="s">
        <v>29</v>
      </c>
      <c r="B27" s="72" t="s">
        <v>132</v>
      </c>
      <c r="C27" s="72" t="s">
        <v>161</v>
      </c>
      <c r="D27" s="72" t="s">
        <v>162</v>
      </c>
      <c r="E27" s="72" t="s">
        <v>163</v>
      </c>
      <c r="F27" s="72" t="s">
        <v>164</v>
      </c>
      <c r="G27" s="72" t="s">
        <v>165</v>
      </c>
      <c r="H27" s="72" t="s">
        <v>166</v>
      </c>
      <c r="I27" s="72" t="s">
        <v>167</v>
      </c>
      <c r="J27" s="72" t="s">
        <v>168</v>
      </c>
      <c r="K27" s="72" t="s">
        <v>169</v>
      </c>
      <c r="L27" s="72" t="s">
        <v>170</v>
      </c>
      <c r="M27" s="72" t="s">
        <v>171</v>
      </c>
      <c r="N27" s="72" t="s">
        <v>172</v>
      </c>
      <c r="O27" s="72" t="s">
        <v>173</v>
      </c>
      <c r="P27" s="72" t="s">
        <v>174</v>
      </c>
      <c r="Q27" s="72" t="s">
        <v>187</v>
      </c>
      <c r="R27" s="72" t="s">
        <v>187</v>
      </c>
      <c r="S27" s="72" t="s">
        <v>187</v>
      </c>
      <c r="T27" s="72" t="s">
        <v>187</v>
      </c>
      <c r="U27" s="72" t="s">
        <v>187</v>
      </c>
    </row>
    <row r="28" spans="1:21" ht="18.399999999999999" customHeight="1" x14ac:dyDescent="0.25">
      <c r="A28" s="60"/>
      <c r="B28" s="67"/>
      <c r="C28" s="67"/>
      <c r="D28" s="67"/>
      <c r="E28" s="67"/>
      <c r="F28" s="67"/>
      <c r="G28" s="68"/>
      <c r="H28" s="68"/>
      <c r="I28" s="68"/>
      <c r="J28" s="68"/>
      <c r="K28" s="68"/>
      <c r="L28" s="68"/>
      <c r="M28" s="68"/>
      <c r="N28" s="68"/>
      <c r="O28" s="68"/>
      <c r="P28" s="68"/>
      <c r="Q28" s="68"/>
      <c r="R28" s="68"/>
      <c r="S28" s="68"/>
      <c r="T28" s="68"/>
      <c r="U28" s="68"/>
    </row>
    <row r="29" spans="1:21" ht="18.399999999999999" customHeight="1" x14ac:dyDescent="0.25">
      <c r="A29" s="59" t="s">
        <v>47</v>
      </c>
      <c r="B29" s="65">
        <v>5</v>
      </c>
      <c r="C29" s="65">
        <v>5</v>
      </c>
      <c r="D29" s="65">
        <v>5</v>
      </c>
      <c r="E29" s="65">
        <v>5</v>
      </c>
      <c r="F29" s="65">
        <v>5</v>
      </c>
      <c r="G29" s="66">
        <v>5</v>
      </c>
      <c r="H29" s="66">
        <v>5</v>
      </c>
      <c r="I29" s="66">
        <v>5</v>
      </c>
      <c r="J29" s="66">
        <v>5</v>
      </c>
      <c r="K29" s="66">
        <v>5</v>
      </c>
      <c r="L29" s="66">
        <v>5</v>
      </c>
      <c r="M29" s="65">
        <v>5</v>
      </c>
      <c r="N29" s="65">
        <v>5</v>
      </c>
      <c r="O29" s="65">
        <v>5</v>
      </c>
      <c r="P29" s="65">
        <v>5</v>
      </c>
      <c r="Q29" s="65" t="s">
        <v>187</v>
      </c>
      <c r="R29" s="65" t="s">
        <v>187</v>
      </c>
      <c r="S29" s="65" t="s">
        <v>187</v>
      </c>
      <c r="T29" s="65" t="s">
        <v>187</v>
      </c>
      <c r="U29" s="65" t="s">
        <v>187</v>
      </c>
    </row>
    <row r="30" spans="1:21" ht="18.399999999999999" customHeight="1" x14ac:dyDescent="0.25">
      <c r="A30" s="59" t="s">
        <v>46</v>
      </c>
      <c r="B30" s="65">
        <v>4</v>
      </c>
      <c r="C30" s="65">
        <v>4</v>
      </c>
      <c r="D30" s="65">
        <v>4</v>
      </c>
      <c r="E30" s="65">
        <v>4</v>
      </c>
      <c r="F30" s="65">
        <v>4</v>
      </c>
      <c r="G30" s="66">
        <v>4</v>
      </c>
      <c r="H30" s="66">
        <v>4</v>
      </c>
      <c r="I30" s="66">
        <v>4</v>
      </c>
      <c r="J30" s="66">
        <v>4</v>
      </c>
      <c r="K30" s="66">
        <v>4</v>
      </c>
      <c r="L30" s="66">
        <v>4</v>
      </c>
      <c r="M30" s="65">
        <v>4</v>
      </c>
      <c r="N30" s="65">
        <v>4</v>
      </c>
      <c r="O30" s="65">
        <v>4</v>
      </c>
      <c r="P30" s="65">
        <v>4</v>
      </c>
      <c r="Q30" s="65" t="s">
        <v>187</v>
      </c>
      <c r="R30" s="65" t="s">
        <v>187</v>
      </c>
      <c r="S30" s="65" t="s">
        <v>187</v>
      </c>
      <c r="T30" s="65" t="s">
        <v>187</v>
      </c>
      <c r="U30" s="65" t="s">
        <v>187</v>
      </c>
    </row>
    <row r="31" spans="1:21" ht="18.399999999999999" customHeight="1" x14ac:dyDescent="0.25">
      <c r="A31" s="59" t="s">
        <v>62</v>
      </c>
      <c r="B31" s="65">
        <v>2</v>
      </c>
      <c r="C31" s="65">
        <v>2</v>
      </c>
      <c r="D31" s="65">
        <v>2</v>
      </c>
      <c r="E31" s="65">
        <v>2</v>
      </c>
      <c r="F31" s="65">
        <v>2</v>
      </c>
      <c r="G31" s="65">
        <v>2</v>
      </c>
      <c r="H31" s="65">
        <v>2</v>
      </c>
      <c r="I31" s="65">
        <v>2</v>
      </c>
      <c r="J31" s="65">
        <v>2</v>
      </c>
      <c r="K31" s="65">
        <v>2</v>
      </c>
      <c r="L31" s="65">
        <v>2</v>
      </c>
      <c r="M31" s="65">
        <v>2</v>
      </c>
      <c r="N31" s="65">
        <v>2</v>
      </c>
      <c r="O31" s="65">
        <v>2</v>
      </c>
      <c r="P31" s="65">
        <v>2</v>
      </c>
      <c r="Q31" s="65" t="s">
        <v>187</v>
      </c>
      <c r="R31" s="65" t="s">
        <v>187</v>
      </c>
      <c r="S31" s="65" t="s">
        <v>187</v>
      </c>
      <c r="T31" s="65" t="s">
        <v>187</v>
      </c>
      <c r="U31" s="65" t="s">
        <v>187</v>
      </c>
    </row>
    <row r="32" spans="1:21" ht="18.399999999999999" customHeight="1" x14ac:dyDescent="0.25">
      <c r="A32" s="59" t="s">
        <v>45</v>
      </c>
      <c r="B32" s="65">
        <v>3</v>
      </c>
      <c r="C32" s="65">
        <v>3</v>
      </c>
      <c r="D32" s="65">
        <v>3</v>
      </c>
      <c r="E32" s="65">
        <v>3</v>
      </c>
      <c r="F32" s="65">
        <v>3</v>
      </c>
      <c r="G32" s="65">
        <v>3</v>
      </c>
      <c r="H32" s="65">
        <v>3</v>
      </c>
      <c r="I32" s="65">
        <v>3</v>
      </c>
      <c r="J32" s="65">
        <v>3</v>
      </c>
      <c r="K32" s="65">
        <v>3</v>
      </c>
      <c r="L32" s="65">
        <v>3</v>
      </c>
      <c r="M32" s="65">
        <v>3</v>
      </c>
      <c r="N32" s="65">
        <v>3</v>
      </c>
      <c r="O32" s="65">
        <v>3</v>
      </c>
      <c r="P32" s="65">
        <v>3</v>
      </c>
      <c r="Q32" s="65" t="s">
        <v>187</v>
      </c>
      <c r="R32" s="65" t="s">
        <v>187</v>
      </c>
      <c r="S32" s="65" t="s">
        <v>187</v>
      </c>
      <c r="T32" s="65" t="s">
        <v>187</v>
      </c>
      <c r="U32" s="65" t="s">
        <v>187</v>
      </c>
    </row>
    <row r="33" spans="1:21" ht="18.399999999999999" customHeight="1" x14ac:dyDescent="0.25">
      <c r="A33" s="59" t="s">
        <v>44</v>
      </c>
      <c r="B33" s="65">
        <v>4</v>
      </c>
      <c r="C33" s="65">
        <v>4</v>
      </c>
      <c r="D33" s="65">
        <v>4</v>
      </c>
      <c r="E33" s="65">
        <v>4</v>
      </c>
      <c r="F33" s="65">
        <v>4</v>
      </c>
      <c r="G33" s="66">
        <v>4</v>
      </c>
      <c r="H33" s="66">
        <v>4</v>
      </c>
      <c r="I33" s="66">
        <v>4</v>
      </c>
      <c r="J33" s="66">
        <v>4</v>
      </c>
      <c r="K33" s="66">
        <v>4</v>
      </c>
      <c r="L33" s="66">
        <v>4</v>
      </c>
      <c r="M33" s="65">
        <v>4</v>
      </c>
      <c r="N33" s="65">
        <v>4</v>
      </c>
      <c r="O33" s="65">
        <v>4</v>
      </c>
      <c r="P33" s="65">
        <v>4</v>
      </c>
      <c r="Q33" s="65" t="s">
        <v>187</v>
      </c>
      <c r="R33" s="65" t="s">
        <v>187</v>
      </c>
      <c r="S33" s="65" t="s">
        <v>187</v>
      </c>
      <c r="T33" s="65" t="s">
        <v>187</v>
      </c>
      <c r="U33" s="65" t="s">
        <v>187</v>
      </c>
    </row>
    <row r="34" spans="1:21" ht="18.399999999999999" customHeight="1" x14ac:dyDescent="0.25">
      <c r="A34" s="59" t="s">
        <v>43</v>
      </c>
      <c r="B34" s="65">
        <v>4</v>
      </c>
      <c r="C34" s="65">
        <v>4</v>
      </c>
      <c r="D34" s="65">
        <v>4</v>
      </c>
      <c r="E34" s="65">
        <v>4</v>
      </c>
      <c r="F34" s="65">
        <v>4</v>
      </c>
      <c r="G34" s="66">
        <v>4</v>
      </c>
      <c r="H34" s="66">
        <v>4</v>
      </c>
      <c r="I34" s="66">
        <v>4</v>
      </c>
      <c r="J34" s="66">
        <v>4</v>
      </c>
      <c r="K34" s="66">
        <v>4</v>
      </c>
      <c r="L34" s="66">
        <v>4</v>
      </c>
      <c r="M34" s="65">
        <v>4</v>
      </c>
      <c r="N34" s="65">
        <v>4</v>
      </c>
      <c r="O34" s="65">
        <v>4</v>
      </c>
      <c r="P34" s="65">
        <v>4</v>
      </c>
      <c r="Q34" s="65" t="s">
        <v>187</v>
      </c>
      <c r="R34" s="65" t="s">
        <v>187</v>
      </c>
      <c r="S34" s="65" t="s">
        <v>187</v>
      </c>
      <c r="T34" s="65" t="s">
        <v>187</v>
      </c>
      <c r="U34" s="65" t="s">
        <v>187</v>
      </c>
    </row>
    <row r="35" spans="1:21" ht="18.399999999999999" customHeight="1" x14ac:dyDescent="0.25">
      <c r="A35" s="59" t="s">
        <v>42</v>
      </c>
      <c r="B35" s="65">
        <v>2</v>
      </c>
      <c r="C35" s="65">
        <v>2</v>
      </c>
      <c r="D35" s="65">
        <v>2</v>
      </c>
      <c r="E35" s="65">
        <v>2</v>
      </c>
      <c r="F35" s="65">
        <v>2</v>
      </c>
      <c r="G35" s="65">
        <v>2</v>
      </c>
      <c r="H35" s="65">
        <v>2</v>
      </c>
      <c r="I35" s="65">
        <v>2</v>
      </c>
      <c r="J35" s="65">
        <v>2</v>
      </c>
      <c r="K35" s="65">
        <v>2</v>
      </c>
      <c r="L35" s="65">
        <v>2</v>
      </c>
      <c r="M35" s="65">
        <v>2</v>
      </c>
      <c r="N35" s="65">
        <v>2</v>
      </c>
      <c r="O35" s="65">
        <v>2</v>
      </c>
      <c r="P35" s="65">
        <v>2</v>
      </c>
      <c r="Q35" s="65" t="s">
        <v>187</v>
      </c>
      <c r="R35" s="65" t="s">
        <v>187</v>
      </c>
      <c r="S35" s="65" t="s">
        <v>187</v>
      </c>
      <c r="T35" s="65" t="s">
        <v>187</v>
      </c>
      <c r="U35" s="65" t="s">
        <v>187</v>
      </c>
    </row>
    <row r="36" spans="1:21" ht="18.399999999999999" customHeight="1" x14ac:dyDescent="0.25">
      <c r="A36" s="59" t="s">
        <v>41</v>
      </c>
      <c r="B36" s="65">
        <v>3</v>
      </c>
      <c r="C36" s="65">
        <v>3</v>
      </c>
      <c r="D36" s="65">
        <v>3</v>
      </c>
      <c r="E36" s="65">
        <v>3</v>
      </c>
      <c r="F36" s="65">
        <v>3</v>
      </c>
      <c r="G36" s="65">
        <v>3</v>
      </c>
      <c r="H36" s="65">
        <v>3</v>
      </c>
      <c r="I36" s="65">
        <v>3</v>
      </c>
      <c r="J36" s="65">
        <v>4</v>
      </c>
      <c r="K36" s="65">
        <v>3</v>
      </c>
      <c r="L36" s="65">
        <v>3</v>
      </c>
      <c r="M36" s="65">
        <v>3</v>
      </c>
      <c r="N36" s="65">
        <v>3</v>
      </c>
      <c r="O36" s="65">
        <v>3</v>
      </c>
      <c r="P36" s="65">
        <v>3</v>
      </c>
      <c r="Q36" s="65" t="s">
        <v>187</v>
      </c>
      <c r="R36" s="65" t="s">
        <v>187</v>
      </c>
      <c r="S36" s="65" t="s">
        <v>187</v>
      </c>
      <c r="T36" s="65" t="s">
        <v>187</v>
      </c>
      <c r="U36" s="65" t="s">
        <v>187</v>
      </c>
    </row>
    <row r="37" spans="1:21" ht="18.399999999999999" customHeight="1" x14ac:dyDescent="0.25">
      <c r="A37" s="59" t="s">
        <v>40</v>
      </c>
      <c r="B37" s="65">
        <v>4</v>
      </c>
      <c r="C37" s="65">
        <v>4</v>
      </c>
      <c r="D37" s="65">
        <v>4</v>
      </c>
      <c r="E37" s="65">
        <v>4</v>
      </c>
      <c r="F37" s="65">
        <v>4</v>
      </c>
      <c r="G37" s="66">
        <v>4</v>
      </c>
      <c r="H37" s="66">
        <v>4</v>
      </c>
      <c r="I37" s="66">
        <v>4</v>
      </c>
      <c r="J37" s="66">
        <v>4</v>
      </c>
      <c r="K37" s="66">
        <v>4</v>
      </c>
      <c r="L37" s="66">
        <v>4</v>
      </c>
      <c r="M37" s="65">
        <v>4</v>
      </c>
      <c r="N37" s="65">
        <v>4</v>
      </c>
      <c r="O37" s="65">
        <v>4</v>
      </c>
      <c r="P37" s="65">
        <v>4</v>
      </c>
      <c r="Q37" s="65" t="s">
        <v>187</v>
      </c>
      <c r="R37" s="65" t="s">
        <v>187</v>
      </c>
      <c r="S37" s="65" t="s">
        <v>187</v>
      </c>
      <c r="T37" s="65" t="s">
        <v>187</v>
      </c>
      <c r="U37" s="65" t="s">
        <v>187</v>
      </c>
    </row>
    <row r="38" spans="1:21" ht="18.399999999999999" customHeight="1" x14ac:dyDescent="0.25">
      <c r="A38" s="59" t="s">
        <v>39</v>
      </c>
      <c r="B38" s="65">
        <v>4</v>
      </c>
      <c r="C38" s="65">
        <v>4</v>
      </c>
      <c r="D38" s="65">
        <v>4</v>
      </c>
      <c r="E38" s="65">
        <v>4</v>
      </c>
      <c r="F38" s="65">
        <v>4</v>
      </c>
      <c r="G38" s="66">
        <v>4</v>
      </c>
      <c r="H38" s="66">
        <v>4</v>
      </c>
      <c r="I38" s="66">
        <v>4</v>
      </c>
      <c r="J38" s="66">
        <v>4</v>
      </c>
      <c r="K38" s="66">
        <v>4</v>
      </c>
      <c r="L38" s="66">
        <v>4</v>
      </c>
      <c r="M38" s="65">
        <v>4</v>
      </c>
      <c r="N38" s="65">
        <v>4</v>
      </c>
      <c r="O38" s="65">
        <v>4</v>
      </c>
      <c r="P38" s="65">
        <v>4</v>
      </c>
      <c r="Q38" s="65" t="s">
        <v>187</v>
      </c>
      <c r="R38" s="65" t="s">
        <v>187</v>
      </c>
      <c r="S38" s="65" t="s">
        <v>187</v>
      </c>
      <c r="T38" s="65" t="s">
        <v>187</v>
      </c>
      <c r="U38" s="65" t="s">
        <v>187</v>
      </c>
    </row>
    <row r="39" spans="1:21" ht="18.399999999999999" customHeight="1" x14ac:dyDescent="0.25">
      <c r="A39" s="59" t="s">
        <v>38</v>
      </c>
      <c r="B39" s="65">
        <v>2</v>
      </c>
      <c r="C39" s="65">
        <v>2</v>
      </c>
      <c r="D39" s="65">
        <v>2</v>
      </c>
      <c r="E39" s="65">
        <v>2</v>
      </c>
      <c r="F39" s="65">
        <v>2</v>
      </c>
      <c r="G39" s="65">
        <v>2</v>
      </c>
      <c r="H39" s="65">
        <v>2</v>
      </c>
      <c r="I39" s="65">
        <v>2</v>
      </c>
      <c r="J39" s="65">
        <v>2</v>
      </c>
      <c r="K39" s="65">
        <v>2</v>
      </c>
      <c r="L39" s="65">
        <v>2</v>
      </c>
      <c r="M39" s="65">
        <v>2</v>
      </c>
      <c r="N39" s="65">
        <v>2</v>
      </c>
      <c r="O39" s="65">
        <v>2</v>
      </c>
      <c r="P39" s="65">
        <v>2</v>
      </c>
      <c r="Q39" s="65" t="s">
        <v>187</v>
      </c>
      <c r="R39" s="65" t="s">
        <v>187</v>
      </c>
      <c r="S39" s="65" t="s">
        <v>187</v>
      </c>
      <c r="T39" s="65" t="s">
        <v>187</v>
      </c>
      <c r="U39" s="65" t="s">
        <v>187</v>
      </c>
    </row>
    <row r="40" spans="1:21" ht="18.399999999999999" customHeight="1" x14ac:dyDescent="0.25">
      <c r="A40" s="59" t="s">
        <v>37</v>
      </c>
      <c r="B40" s="65">
        <v>4</v>
      </c>
      <c r="C40" s="65">
        <v>4</v>
      </c>
      <c r="D40" s="65">
        <v>4</v>
      </c>
      <c r="E40" s="65">
        <v>4</v>
      </c>
      <c r="F40" s="65">
        <v>4</v>
      </c>
      <c r="G40" s="66">
        <v>4</v>
      </c>
      <c r="H40" s="66">
        <v>4</v>
      </c>
      <c r="I40" s="66">
        <v>4</v>
      </c>
      <c r="J40" s="66">
        <v>4</v>
      </c>
      <c r="K40" s="66">
        <v>4</v>
      </c>
      <c r="L40" s="66">
        <v>4</v>
      </c>
      <c r="M40" s="65">
        <v>4</v>
      </c>
      <c r="N40" s="65">
        <v>4</v>
      </c>
      <c r="O40" s="65">
        <v>4</v>
      </c>
      <c r="P40" s="65">
        <v>4</v>
      </c>
      <c r="Q40" s="65" t="s">
        <v>187</v>
      </c>
      <c r="R40" s="65" t="s">
        <v>187</v>
      </c>
      <c r="S40" s="65" t="s">
        <v>187</v>
      </c>
      <c r="T40" s="65" t="s">
        <v>187</v>
      </c>
      <c r="U40" s="65" t="s">
        <v>187</v>
      </c>
    </row>
    <row r="41" spans="1:21" ht="150" customHeight="1" x14ac:dyDescent="0.25">
      <c r="A41" s="71" t="s">
        <v>64</v>
      </c>
      <c r="B41" s="72" t="s">
        <v>132</v>
      </c>
      <c r="C41" s="72" t="s">
        <v>177</v>
      </c>
      <c r="D41" s="72" t="s">
        <v>178</v>
      </c>
      <c r="E41" s="72" t="s">
        <v>179</v>
      </c>
      <c r="F41" s="72" t="s">
        <v>180</v>
      </c>
      <c r="G41" s="72" t="s">
        <v>181</v>
      </c>
      <c r="H41" s="72" t="s">
        <v>182</v>
      </c>
      <c r="I41" s="72" t="s">
        <v>183</v>
      </c>
      <c r="J41" s="72" t="s">
        <v>184</v>
      </c>
      <c r="K41" s="72" t="s">
        <v>185</v>
      </c>
      <c r="L41" s="72" t="s">
        <v>193</v>
      </c>
      <c r="M41" s="72" t="s">
        <v>186</v>
      </c>
      <c r="N41" s="72" t="s">
        <v>187</v>
      </c>
      <c r="O41" s="72" t="s">
        <v>187</v>
      </c>
      <c r="P41" s="72" t="s">
        <v>187</v>
      </c>
      <c r="Q41" s="72" t="s">
        <v>187</v>
      </c>
      <c r="R41" s="72" t="s">
        <v>187</v>
      </c>
      <c r="S41" s="72" t="s">
        <v>187</v>
      </c>
      <c r="T41" s="72" t="s">
        <v>187</v>
      </c>
      <c r="U41" s="72" t="s">
        <v>187</v>
      </c>
    </row>
    <row r="42" spans="1:21" ht="18.399999999999999" customHeight="1" x14ac:dyDescent="0.25">
      <c r="A42" s="60"/>
      <c r="B42" s="67"/>
      <c r="C42" s="67"/>
      <c r="D42" s="67"/>
      <c r="E42" s="67"/>
      <c r="F42" s="67"/>
      <c r="G42" s="68"/>
      <c r="H42" s="68"/>
      <c r="I42" s="68"/>
      <c r="J42" s="68"/>
      <c r="K42" s="68"/>
      <c r="L42" s="68"/>
      <c r="M42" s="68"/>
      <c r="N42" s="68"/>
      <c r="O42" s="68"/>
      <c r="P42" s="68"/>
      <c r="Q42" s="68"/>
      <c r="R42" s="68"/>
      <c r="S42" s="68"/>
      <c r="T42" s="68"/>
      <c r="U42" s="68"/>
    </row>
    <row r="43" spans="1:21" ht="18.399999999999999" customHeight="1" x14ac:dyDescent="0.25">
      <c r="A43" s="59" t="s">
        <v>36</v>
      </c>
      <c r="B43" s="65">
        <v>5</v>
      </c>
      <c r="C43" s="65">
        <v>5</v>
      </c>
      <c r="D43" s="65">
        <v>5</v>
      </c>
      <c r="E43" s="65">
        <v>5</v>
      </c>
      <c r="F43" s="65">
        <v>5</v>
      </c>
      <c r="G43" s="65">
        <v>5</v>
      </c>
      <c r="H43" s="65">
        <v>5</v>
      </c>
      <c r="I43" s="65">
        <v>5</v>
      </c>
      <c r="J43" s="65">
        <v>5</v>
      </c>
      <c r="K43" s="65">
        <v>5</v>
      </c>
      <c r="L43" s="65">
        <v>5</v>
      </c>
      <c r="M43" s="65">
        <v>5</v>
      </c>
      <c r="N43" s="77" t="s">
        <v>187</v>
      </c>
      <c r="O43" s="77" t="s">
        <v>187</v>
      </c>
      <c r="P43" s="77" t="s">
        <v>187</v>
      </c>
      <c r="Q43" s="77" t="s">
        <v>187</v>
      </c>
      <c r="R43" s="77" t="s">
        <v>187</v>
      </c>
      <c r="S43" s="77" t="s">
        <v>187</v>
      </c>
      <c r="T43" s="77" t="s">
        <v>187</v>
      </c>
      <c r="U43" s="77" t="s">
        <v>187</v>
      </c>
    </row>
    <row r="44" spans="1:21" ht="150" customHeight="1" x14ac:dyDescent="0.25">
      <c r="A44" s="71" t="s">
        <v>63</v>
      </c>
      <c r="B44" s="72" t="s">
        <v>113</v>
      </c>
      <c r="C44" s="72" t="s">
        <v>114</v>
      </c>
      <c r="D44" s="78" t="s">
        <v>129</v>
      </c>
      <c r="E44" s="72" t="s">
        <v>115</v>
      </c>
      <c r="F44" s="72" t="s">
        <v>116</v>
      </c>
      <c r="G44" s="72" t="s">
        <v>117</v>
      </c>
      <c r="H44" s="72" t="s">
        <v>118</v>
      </c>
      <c r="I44" s="72" t="s">
        <v>120</v>
      </c>
      <c r="J44" s="72" t="s">
        <v>123</v>
      </c>
      <c r="K44" s="72" t="s">
        <v>124</v>
      </c>
      <c r="L44" s="72" t="s">
        <v>125</v>
      </c>
      <c r="M44" s="72" t="s">
        <v>126</v>
      </c>
      <c r="N44" s="78" t="s">
        <v>127</v>
      </c>
      <c r="O44" s="72" t="s">
        <v>128</v>
      </c>
      <c r="P44" s="72" t="s">
        <v>130</v>
      </c>
      <c r="Q44" s="72" t="s">
        <v>131</v>
      </c>
      <c r="R44" s="72" t="s">
        <v>119</v>
      </c>
      <c r="S44" s="72" t="s">
        <v>121</v>
      </c>
      <c r="T44" s="72" t="s">
        <v>122</v>
      </c>
      <c r="U44" s="72" t="s">
        <v>187</v>
      </c>
    </row>
    <row r="45" spans="1:21" ht="18.399999999999999" customHeight="1" x14ac:dyDescent="0.25">
      <c r="A45" s="60"/>
      <c r="B45" s="67"/>
      <c r="C45" s="67"/>
      <c r="D45" s="67"/>
      <c r="E45" s="67"/>
      <c r="F45" s="67"/>
      <c r="G45" s="68"/>
      <c r="H45" s="68"/>
      <c r="I45" s="68"/>
      <c r="J45" s="68"/>
      <c r="K45" s="68"/>
      <c r="L45" s="68"/>
      <c r="M45" s="68"/>
      <c r="N45" s="68"/>
      <c r="O45" s="68"/>
      <c r="P45" s="68"/>
      <c r="Q45" s="68"/>
      <c r="R45" s="68"/>
      <c r="S45" s="68"/>
      <c r="T45" s="68"/>
      <c r="U45" s="68"/>
    </row>
    <row r="46" spans="1:21" ht="25.5" x14ac:dyDescent="0.25">
      <c r="A46" s="59" t="s">
        <v>30</v>
      </c>
      <c r="B46" s="65" t="s">
        <v>88</v>
      </c>
      <c r="C46" s="65" t="s">
        <v>88</v>
      </c>
      <c r="D46" s="65" t="s">
        <v>88</v>
      </c>
      <c r="E46" s="79">
        <v>3</v>
      </c>
      <c r="F46" s="65" t="s">
        <v>88</v>
      </c>
      <c r="G46" s="65" t="s">
        <v>88</v>
      </c>
      <c r="H46" s="79">
        <v>4</v>
      </c>
      <c r="I46" s="65" t="s">
        <v>88</v>
      </c>
      <c r="J46" s="65" t="s">
        <v>88</v>
      </c>
      <c r="K46" s="65" t="s">
        <v>88</v>
      </c>
      <c r="L46" s="65" t="s">
        <v>88</v>
      </c>
      <c r="M46" s="65" t="s">
        <v>88</v>
      </c>
      <c r="N46" s="65" t="s">
        <v>88</v>
      </c>
      <c r="O46" s="65" t="s">
        <v>88</v>
      </c>
      <c r="P46" s="65" t="s">
        <v>88</v>
      </c>
      <c r="Q46" s="65" t="s">
        <v>88</v>
      </c>
      <c r="R46" s="79">
        <v>4</v>
      </c>
      <c r="S46" s="79">
        <v>4</v>
      </c>
      <c r="T46" s="79">
        <v>3</v>
      </c>
      <c r="U46" s="65" t="s">
        <v>187</v>
      </c>
    </row>
    <row r="47" spans="1:21" x14ac:dyDescent="0.25">
      <c r="A47" s="59" t="s">
        <v>31</v>
      </c>
      <c r="B47" s="65" t="s">
        <v>88</v>
      </c>
      <c r="C47" s="79">
        <v>3</v>
      </c>
      <c r="D47" s="65" t="s">
        <v>88</v>
      </c>
      <c r="E47" s="65" t="s">
        <v>88</v>
      </c>
      <c r="F47" s="65" t="s">
        <v>88</v>
      </c>
      <c r="G47" s="65" t="s">
        <v>88</v>
      </c>
      <c r="H47" s="65" t="s">
        <v>88</v>
      </c>
      <c r="I47" s="65" t="s">
        <v>88</v>
      </c>
      <c r="J47" s="65" t="s">
        <v>88</v>
      </c>
      <c r="K47" s="65" t="s">
        <v>88</v>
      </c>
      <c r="L47" s="65" t="s">
        <v>88</v>
      </c>
      <c r="M47" s="65" t="s">
        <v>88</v>
      </c>
      <c r="N47" s="65" t="s">
        <v>88</v>
      </c>
      <c r="O47" s="65" t="s">
        <v>88</v>
      </c>
      <c r="P47" s="65" t="s">
        <v>88</v>
      </c>
      <c r="Q47" s="65" t="s">
        <v>88</v>
      </c>
      <c r="R47" s="79">
        <v>4</v>
      </c>
      <c r="S47" s="79">
        <v>3</v>
      </c>
      <c r="T47" s="79">
        <v>3</v>
      </c>
      <c r="U47" s="65" t="s">
        <v>187</v>
      </c>
    </row>
    <row r="48" spans="1:21" ht="25.5" x14ac:dyDescent="0.25">
      <c r="A48" s="59" t="s">
        <v>32</v>
      </c>
      <c r="B48" s="65" t="s">
        <v>88</v>
      </c>
      <c r="C48" s="65" t="s">
        <v>88</v>
      </c>
      <c r="D48" s="65" t="s">
        <v>88</v>
      </c>
      <c r="E48" s="65">
        <v>3</v>
      </c>
      <c r="F48" s="65" t="s">
        <v>88</v>
      </c>
      <c r="G48" s="65" t="s">
        <v>88</v>
      </c>
      <c r="H48" s="79">
        <v>4</v>
      </c>
      <c r="I48" s="65" t="s">
        <v>88</v>
      </c>
      <c r="J48" s="65" t="s">
        <v>88</v>
      </c>
      <c r="K48" s="65" t="s">
        <v>88</v>
      </c>
      <c r="L48" s="79">
        <v>4</v>
      </c>
      <c r="M48" s="79">
        <v>4</v>
      </c>
      <c r="N48" s="65" t="s">
        <v>88</v>
      </c>
      <c r="O48" s="65" t="s">
        <v>88</v>
      </c>
      <c r="P48" s="65" t="s">
        <v>88</v>
      </c>
      <c r="Q48" s="65" t="s">
        <v>88</v>
      </c>
      <c r="R48" s="65" t="s">
        <v>88</v>
      </c>
      <c r="S48" s="79">
        <v>3</v>
      </c>
      <c r="T48" s="65" t="s">
        <v>88</v>
      </c>
      <c r="U48" s="65" t="s">
        <v>187</v>
      </c>
    </row>
    <row r="49" spans="1:21" ht="18.399999999999999" customHeight="1" x14ac:dyDescent="0.25">
      <c r="A49" s="59" t="s">
        <v>33</v>
      </c>
      <c r="B49" s="65" t="s">
        <v>88</v>
      </c>
      <c r="C49" s="79">
        <v>4</v>
      </c>
      <c r="D49" s="65" t="s">
        <v>88</v>
      </c>
      <c r="E49" s="65" t="s">
        <v>88</v>
      </c>
      <c r="F49" s="65" t="s">
        <v>88</v>
      </c>
      <c r="G49" s="65" t="s">
        <v>88</v>
      </c>
      <c r="H49" s="65" t="s">
        <v>88</v>
      </c>
      <c r="I49" s="65" t="s">
        <v>88</v>
      </c>
      <c r="J49" s="65" t="s">
        <v>88</v>
      </c>
      <c r="K49" s="65" t="s">
        <v>88</v>
      </c>
      <c r="L49" s="65" t="s">
        <v>88</v>
      </c>
      <c r="M49" s="65" t="s">
        <v>88</v>
      </c>
      <c r="N49" s="65" t="s">
        <v>88</v>
      </c>
      <c r="O49" s="65" t="s">
        <v>88</v>
      </c>
      <c r="P49" s="79">
        <v>4</v>
      </c>
      <c r="Q49" s="79">
        <v>4</v>
      </c>
      <c r="R49" s="65" t="s">
        <v>88</v>
      </c>
      <c r="S49" s="79">
        <v>4</v>
      </c>
      <c r="T49" s="65" t="s">
        <v>88</v>
      </c>
      <c r="U49" s="65" t="s">
        <v>187</v>
      </c>
    </row>
    <row r="50" spans="1:21" ht="18.399999999999999" customHeight="1" x14ac:dyDescent="0.25">
      <c r="A50" s="59" t="s">
        <v>34</v>
      </c>
      <c r="B50" s="65" t="s">
        <v>88</v>
      </c>
      <c r="C50" s="79">
        <v>3</v>
      </c>
      <c r="D50" s="65" t="s">
        <v>88</v>
      </c>
      <c r="E50" s="65" t="s">
        <v>88</v>
      </c>
      <c r="F50" s="65" t="s">
        <v>88</v>
      </c>
      <c r="G50" s="65" t="s">
        <v>88</v>
      </c>
      <c r="H50" s="79">
        <v>2</v>
      </c>
      <c r="I50" s="65" t="s">
        <v>88</v>
      </c>
      <c r="J50" s="65" t="s">
        <v>88</v>
      </c>
      <c r="K50" s="65" t="s">
        <v>88</v>
      </c>
      <c r="L50" s="79">
        <v>2</v>
      </c>
      <c r="M50" s="79">
        <v>2</v>
      </c>
      <c r="N50" s="65" t="s">
        <v>88</v>
      </c>
      <c r="O50" s="65" t="s">
        <v>88</v>
      </c>
      <c r="P50" s="65" t="s">
        <v>88</v>
      </c>
      <c r="Q50" s="65" t="s">
        <v>88</v>
      </c>
      <c r="R50" s="65" t="s">
        <v>88</v>
      </c>
      <c r="S50" s="65" t="s">
        <v>88</v>
      </c>
      <c r="T50" s="65" t="s">
        <v>88</v>
      </c>
      <c r="U50" s="65" t="s">
        <v>187</v>
      </c>
    </row>
    <row r="51" spans="1:21" ht="18.399999999999999" customHeight="1" x14ac:dyDescent="0.25">
      <c r="A51" s="59" t="s">
        <v>35</v>
      </c>
      <c r="B51" s="79">
        <v>3</v>
      </c>
      <c r="C51" s="79">
        <v>3</v>
      </c>
      <c r="D51" s="65" t="s">
        <v>88</v>
      </c>
      <c r="E51" s="65" t="s">
        <v>88</v>
      </c>
      <c r="F51" s="65" t="s">
        <v>88</v>
      </c>
      <c r="G51" s="65" t="s">
        <v>88</v>
      </c>
      <c r="H51" s="65" t="s">
        <v>88</v>
      </c>
      <c r="I51" s="65" t="s">
        <v>88</v>
      </c>
      <c r="J51" s="65" t="s">
        <v>88</v>
      </c>
      <c r="K51" s="65" t="s">
        <v>88</v>
      </c>
      <c r="L51" s="65" t="s">
        <v>88</v>
      </c>
      <c r="M51" s="65" t="s">
        <v>88</v>
      </c>
      <c r="N51" s="65" t="s">
        <v>88</v>
      </c>
      <c r="O51" s="65" t="s">
        <v>88</v>
      </c>
      <c r="P51" s="65" t="s">
        <v>88</v>
      </c>
      <c r="Q51" s="65" t="s">
        <v>88</v>
      </c>
      <c r="R51" s="65" t="s">
        <v>88</v>
      </c>
      <c r="S51" s="65" t="s">
        <v>88</v>
      </c>
      <c r="T51" s="65" t="s">
        <v>88</v>
      </c>
      <c r="U51" s="65" t="s">
        <v>187</v>
      </c>
    </row>
  </sheetData>
  <mergeCells count="1">
    <mergeCell ref="V1:Z1"/>
  </mergeCells>
  <pageMargins left="0.511811024" right="0.511811024" top="0.78740157499999996" bottom="0.78740157499999996" header="0.31496062000000002" footer="0.31496062000000002"/>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zoomScale="130" zoomScaleNormal="130" workbookViewId="0">
      <selection activeCell="A2" sqref="A2"/>
    </sheetView>
  </sheetViews>
  <sheetFormatPr defaultRowHeight="15" x14ac:dyDescent="0.25"/>
  <cols>
    <col min="1" max="1" width="86.28515625" customWidth="1"/>
  </cols>
  <sheetData>
    <row r="1" spans="1:1" x14ac:dyDescent="0.25">
      <c r="A1" s="83" t="s">
        <v>208</v>
      </c>
    </row>
    <row r="2" spans="1:1" ht="24" customHeight="1" x14ac:dyDescent="0.25">
      <c r="A2" s="81" t="s">
        <v>207</v>
      </c>
    </row>
    <row r="3" spans="1:1" ht="31.15" customHeight="1" x14ac:dyDescent="0.25">
      <c r="A3" s="82" t="s">
        <v>209</v>
      </c>
    </row>
    <row r="4" spans="1:1" ht="28.15" customHeight="1" x14ac:dyDescent="0.25">
      <c r="A4" s="82" t="s">
        <v>210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14</vt:i4>
      </vt:variant>
    </vt:vector>
  </HeadingPairs>
  <TitlesOfParts>
    <vt:vector size="22" baseType="lpstr">
      <vt:lpstr>Aval Soft Skills</vt:lpstr>
      <vt:lpstr>Aval Hard Skills</vt:lpstr>
      <vt:lpstr>PDI</vt:lpstr>
      <vt:lpstr>Follow-up</vt:lpstr>
      <vt:lpstr>Cargos</vt:lpstr>
      <vt:lpstr>Soft Skills</vt:lpstr>
      <vt:lpstr>Hard Skills</vt:lpstr>
      <vt:lpstr>Roteiro</vt:lpstr>
      <vt:lpstr>'Hard Skills'!Adm_Financeiro</vt:lpstr>
      <vt:lpstr>'Soft Skills'!Adm_Financeiro</vt:lpstr>
      <vt:lpstr>Adm_Financeiro</vt:lpstr>
      <vt:lpstr>'Aval Soft Skills'!Area_de_impressao</vt:lpstr>
      <vt:lpstr>'Hard Skills'!Civil</vt:lpstr>
      <vt:lpstr>'Soft Skills'!Civil</vt:lpstr>
      <vt:lpstr>Civil</vt:lpstr>
      <vt:lpstr>'Hard Skills'!Elétrica</vt:lpstr>
      <vt:lpstr>'Soft Skills'!Elétrica</vt:lpstr>
      <vt:lpstr>Elétrica</vt:lpstr>
      <vt:lpstr>'Hard Skills'!Eletromecânica</vt:lpstr>
      <vt:lpstr>'Soft Skills'!Eletromecânica</vt:lpstr>
      <vt:lpstr>Eletromecânica</vt:lpstr>
      <vt:lpstr>Ger_Contratos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Osvaldo Shoitiro Matubara</dc:creator>
  <cp:lastModifiedBy>Renan Soares</cp:lastModifiedBy>
  <cp:lastPrinted>2024-02-29T13:08:32Z</cp:lastPrinted>
  <dcterms:created xsi:type="dcterms:W3CDTF">2023-05-26T14:01:59Z</dcterms:created>
  <dcterms:modified xsi:type="dcterms:W3CDTF">2024-09-11T18:08:53Z</dcterms:modified>
</cp:coreProperties>
</file>