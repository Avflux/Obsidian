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00530F74-9F5B-44D7-A635-C43A868B0062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activeTab="7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<sst xmlns="http://schemas.openxmlformats.org/spreadsheetml/2006/main" count="410" uniqueCount="167">
  <si>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</si>
  <si>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</si>
  <si>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</si>
  <si>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</si>
  <si>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</si>
  <si>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</si>
  <si>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</si>
  <si>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</si>
  <si>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</si>
  <si>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</si>
  <si>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</si>
  <si>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</si>
  <si>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</si>
  <si>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</si>
  <si>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</si>
  <si>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</si>
  <si>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</si>
  <si>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</si>
  <si>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</si>
  <si>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</si>
  <si>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</si>
  <si>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</si>
  <si>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</si>
  <si>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</si>
  <si>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</si>
  <si>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</si>
  <si>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</si>
  <si>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</si>
  <si>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</si>
  <si>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</si>
  <si>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</si>
  <si>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</si>
  <si>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</si>
  <si>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</si>
  <si>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</si>
  <si>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</si>
  <si>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</si>
  <si>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</si>
  <si>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</si>
  <si>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</si>
  <si>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</si>
  <si>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</si>
  <si>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</si>
  <si>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</si>
  <si>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</si>
  <si>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</si>
  <si>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</si>
  <si>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</si>
  <si>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</si>
  <si>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</si>
  <si>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</si>
  <si>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</si>
  <si>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</si>
  <si>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</si>
  <si>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</si>
  <si>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</si>
  <si>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</si>
  <si>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</si>
  <si>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</si>
  <si>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</si>
  <si>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</si>
  <si>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</si>
  <si>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</si>
  <si>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</si>
  <si>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</si>
  <si>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</si>
  <si>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</si>
  <si>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</si>
  <si>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</si>
  <si>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</si>
  <si>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</si>
  <si>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</si>
  <si>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</si>
  <si>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</si>
  <si>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</si>
  <si>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</si>
  <si>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</si>
  <si>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</si>
  <si>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</si>
  <si>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</si>
  <si>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</si>
  <si>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</si>
  <si>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</si>
  <si>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</si>
  <si>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</si>
  <si>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</si>
  <si>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</si>
  <si>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</si>
  <si>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</si>
  <si>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</si>
  <si>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</si>
  <si>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</si>
  <si>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</si>
  <si>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</si>
  <si>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</si>
  <si>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</si>
  <si>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</si>
  <si>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</si>
  <si>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</si>
  <si>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</si>
  <si>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</si>
  <si>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</si>
  <si>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</si>
  <si>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</si>
  <si>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</si>
  <si>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</si>
  <si>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</si>
  <si>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</si>
  <si>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</si>
  <si>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</si>
  <si>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</si>
  <si>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</si>
  <si>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</si>
  <si>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</si>
  <si>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</si>
  <si>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</si>
  <si>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</si>
  <si>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</si>
  <si>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</si>
  <si>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</si>
  <si>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</si>
  <si>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</si>
  <si>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</si>
  <si>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</si>
  <si>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</si>
  <si>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</si>
  <si>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</si>
  <si>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</si>
  <si>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</si>
  <si>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</si>
  <si>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</si>
  <si>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</si>
  <si>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</si>
  <si>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</si>
  <si>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</si>
  <si>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</si>
  <si>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</si>
  <si>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</si>
  <si>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</si>
  <si>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</si>
  <si>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</si>
  <si>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</si>
  <si>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</si>
  <si>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</si>
  <si>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</si>
  <si>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</si>
  <si>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</si>
  <si>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</si>
  <si>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</si>
  <si>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</si>
  <si>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</si>
  <si>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</si>
  <si>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reu</t>
  </si>
  <si>
    <t>Omexom-UFV Seriemas e Rio Brilhante-SE Rio Brilhante-Executivo-Elétrico-Diagramas de Interligação de SPCS--</t>
  </si>
  <si>
    <t>Funcional Fictício</t>
  </si>
  <si>
    <t>Omexom-UFV Seriemas e Rio Brilhante-SE UFV Rio Brilhante-Executivo-Elétrico-Diagramas de Interligação de SPCS--</t>
  </si>
  <si>
    <t>Eletrobras-Areia-SE Areia-Básico-Elétrico-Unifilar de Proteção--</t>
  </si>
  <si>
    <t>Eletrobras-Barreiras_Catu_Eunápolis_Santa Cruz II-SE Barreiras-Básico-Elétrico-Unifilar de Proteção--</t>
  </si>
  <si>
    <t>Eletrobras-Barreiras_Catu_Eunápolis_Santa Cruz II-SE Santa Cruz II-Básico-Elétrico-Unifilar de Proteção--</t>
  </si>
  <si>
    <t>Desenho Verde vermelho</t>
  </si>
  <si>
    <t>Deesenho verde vermelho</t>
  </si>
  <si>
    <t>Siemens-PG 1023-MSR-Executivo-Elétrico-Conforme Construído--</t>
  </si>
  <si>
    <t>Eletrobras-Barreiras_Catu_Eunápolis_Santa Cruz II-SE Eunápolis-Básico-Elétrico-Unifilar de Proteção--</t>
  </si>
  <si>
    <t>Desenho Verde e vermelho</t>
  </si>
  <si>
    <t>Desenho verde e vermelho</t>
  </si>
  <si>
    <t>Eletrobras-Sinop_Nova Mutum-SE Sinop-Básico-Elétrico-Unifilar de Proteção--</t>
  </si>
  <si>
    <t>Desenho Verde e 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</si>
</sst>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C40" sqref="C4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8" t="s">
        <v>124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135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136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137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138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139</v>
      </c>
      <c r="C17" s="8" t="s">
        <v>140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141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142</v>
      </c>
      <c r="C21" s="8" t="s">
        <v>143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144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145</v>
      </c>
      <c r="C23" s="7" t="s">
        <v>146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145</v>
      </c>
      <c r="C24" s="8" t="s">
        <v>147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148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149</v>
      </c>
      <c r="C27" s="8" t="s">
        <v>150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tabSelected="1" zoomScaleNormal="100" workbookViewId="0">
      <pane xSplit="3" topLeftCell="S1" activePane="topRight" state="frozen"/>
      <selection pane="topRight" activeCell="C13" sqref="C1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>
        <v>5.6499999999999915</v>
      </c>
      <c r="H7" s="4">
        <v>3.3161000000000058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13.175000000000011</v>
      </c>
    </row>
    <row r="8" spans="1:35" x14ac:dyDescent="0.3">
      <c r="A8" s="24">
        <v>2</v>
      </c>
      <c r="B8" s="7" t="s">
        <v>153</v>
      </c>
      <c r="C8" s="8" t="s">
        <v>154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 t="s">
        <v>155</v>
      </c>
      <c r="C9" s="8" t="s">
        <v>154</v>
      </c>
      <c r="D9" s="6"/>
      <c r="E9" s="6"/>
      <c r="F9" s="40"/>
      <c r="G9" s="6">
        <v>3.5608</v>
      </c>
      <c r="H9" s="6">
        <v>5.8624999999999989</v>
      </c>
      <c r="I9" s="6">
        <v>11</v>
      </c>
      <c r="J9" s="6">
        <v>3.3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5.966700000000003</v>
      </c>
      <c r="W9" s="6"/>
      <c r="X9" s="6"/>
      <c r="Y9" s="6"/>
      <c r="Z9" s="6"/>
      <c r="AA9" s="6"/>
      <c r="AB9" s="6">
        <v>1.595799999999997</v>
      </c>
      <c r="AC9" s="6"/>
      <c r="AD9" s="6"/>
      <c r="AE9" s="6"/>
      <c r="AF9" s="6"/>
      <c r="AG9" s="6"/>
      <c r="AH9" s="6"/>
      <c r="AI9" s="2">
        <f t="shared" si="0"/>
        <v>31.285799999999998</v>
      </c>
    </row>
    <row r="10" spans="1:35" x14ac:dyDescent="0.3">
      <c r="A10" s="24">
        <v>4</v>
      </c>
      <c r="B10" s="7" t="s">
        <v>151</v>
      </c>
      <c r="C10" s="8" t="s">
        <v>154</v>
      </c>
      <c r="D10" s="6"/>
      <c r="E10" s="6"/>
      <c r="F10" s="6"/>
      <c r="G10" s="6"/>
      <c r="H10" s="6"/>
      <c r="I10" s="6"/>
      <c r="J10" s="6">
        <v>7.7413999999999996</v>
      </c>
      <c r="K10" s="6">
        <v>9.3244000000000007</v>
      </c>
      <c r="L10" s="6"/>
      <c r="M10" s="6"/>
      <c r="N10" s="6">
        <v>9.1536000000000008</v>
      </c>
      <c r="O10" s="6">
        <v>4.2841999999999985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30.503599999999999</v>
      </c>
    </row>
    <row r="11" spans="1:35" x14ac:dyDescent="0.3">
      <c r="A11" s="24">
        <v>5</v>
      </c>
      <c r="B11" s="7" t="s">
        <v>156</v>
      </c>
      <c r="C11" s="8" t="s">
        <v>150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0.98970000000000002</v>
      </c>
      <c r="P11" s="6">
        <v>6.3658999999999999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7.3555999999999999</v>
      </c>
    </row>
    <row r="12" spans="1:35" x14ac:dyDescent="0.3">
      <c r="A12" s="24">
        <v>6</v>
      </c>
      <c r="B12" s="7" t="s">
        <v>151</v>
      </c>
      <c r="C12" s="8" t="s">
        <v>150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4.2019000000000002</v>
      </c>
      <c r="P12" s="6">
        <v>1.5824999999999996</v>
      </c>
      <c r="Q12" s="6">
        <v>4.1567000000000007</v>
      </c>
      <c r="R12" s="6"/>
      <c r="S12" s="6"/>
      <c r="T12" s="6"/>
      <c r="U12" s="6">
        <v>4.1882999999999999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14.1294</v>
      </c>
    </row>
    <row r="13" spans="1:35" x14ac:dyDescent="0.3">
      <c r="A13" s="24">
        <v>7</v>
      </c>
      <c r="B13" s="7" t="s">
        <v>156</v>
      </c>
      <c r="C13" s="8" t="s">
        <v>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1.5</v>
      </c>
      <c r="Q13" s="6">
        <v>5.3</v>
      </c>
      <c r="R13" s="6">
        <v>5.5511000000000008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12.351100000000001</v>
      </c>
    </row>
    <row r="14" spans="1:35" x14ac:dyDescent="0.3">
      <c r="A14" s="24">
        <v>8</v>
      </c>
      <c r="B14" s="7" t="s">
        <v>157</v>
      </c>
      <c r="C14" s="8" t="s">
        <v>87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3.9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6.9</v>
      </c>
    </row>
    <row r="15" spans="1:35" x14ac:dyDescent="0.3">
      <c r="A15" s="24">
        <v>9</v>
      </c>
      <c r="B15" s="7" t="s">
        <v>133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5.1505999999999998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5.1505999999999998</v>
      </c>
    </row>
    <row r="16" spans="1:35" x14ac:dyDescent="0.3">
      <c r="A16" s="24">
        <v>10</v>
      </c>
      <c r="B16" s="7" t="s">
        <v>158</v>
      </c>
      <c r="C16" s="7" t="s">
        <v>37</v>
      </c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8.9849999999999994</v>
      </c>
      <c r="X16" s="6">
        <v>5.2096999999999998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14.194699999999999</v>
      </c>
    </row>
    <row r="17" spans="1:35" x14ac:dyDescent="0.3">
      <c r="A17" s="24">
        <v>11</v>
      </c>
      <c r="B17" s="7" t="s">
        <v>134</v>
      </c>
      <c r="C17" s="8" t="s">
        <v>159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3.9011</v>
      </c>
      <c r="Y17" s="6">
        <v>4.2925000000000004</v>
      </c>
      <c r="Z17" s="6"/>
      <c r="AA17" s="6"/>
      <c r="AB17" s="6">
        <v>6.8544999999999998</v>
      </c>
      <c r="AC17" s="6"/>
      <c r="AD17" s="6"/>
      <c r="AE17" s="6"/>
      <c r="AF17" s="6"/>
      <c r="AG17" s="6"/>
      <c r="AH17" s="6"/>
      <c r="AI17" s="2">
        <f t="shared" si="0"/>
        <v>15.0481</v>
      </c>
    </row>
    <row r="18" spans="1:35" x14ac:dyDescent="0.3">
      <c r="A18" s="24">
        <v>12</v>
      </c>
      <c r="B18" s="7" t="s">
        <v>129</v>
      </c>
      <c r="C18" s="8" t="s">
        <v>160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5.0456000000000003</v>
      </c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5.0456000000000003</v>
      </c>
    </row>
    <row r="19" spans="1:35" x14ac:dyDescent="0.3">
      <c r="A19" s="24">
        <v>13</v>
      </c>
      <c r="B19" s="7" t="s">
        <v>161</v>
      </c>
      <c r="C19" s="8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0.62560000000000004</v>
      </c>
      <c r="AC19" s="6"/>
      <c r="AD19" s="6"/>
      <c r="AE19" s="6"/>
      <c r="AF19" s="6"/>
      <c r="AG19" s="6"/>
      <c r="AH19" s="6"/>
      <c r="AI19" s="2">
        <f t="shared" si="0"/>
        <v>0.62560000000000004</v>
      </c>
    </row>
    <row r="20" spans="1:35" x14ac:dyDescent="0.3">
      <c r="A20" s="24">
        <v>14</v>
      </c>
      <c r="B20" s="7" t="s">
        <v>162</v>
      </c>
      <c r="C20" s="7" t="s">
        <v>163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0.95940000000000003</v>
      </c>
      <c r="AD20" s="6"/>
      <c r="AE20" s="6"/>
      <c r="AF20" s="6"/>
      <c r="AG20" s="6"/>
      <c r="AH20" s="6"/>
      <c r="AI20" s="2">
        <f t="shared" si="0"/>
        <v>0.95940000000000003</v>
      </c>
    </row>
    <row r="21" spans="1:35" x14ac:dyDescent="0.3">
      <c r="A21" s="24">
        <v>15</v>
      </c>
      <c r="B21" s="7" t="s">
        <v>133</v>
      </c>
      <c r="C21" s="8" t="s">
        <v>164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2.7475000000000001</v>
      </c>
      <c r="AD21" s="6"/>
      <c r="AE21" s="6"/>
      <c r="AF21" s="6"/>
      <c r="AG21" s="6"/>
      <c r="AH21" s="6"/>
      <c r="AI21" s="2">
        <f t="shared" si="0"/>
        <v>2.7475000000000001</v>
      </c>
    </row>
    <row r="22" spans="1:35" x14ac:dyDescent="0.3">
      <c r="A22" s="24">
        <v>16</v>
      </c>
      <c r="B22" s="7" t="s">
        <v>165</v>
      </c>
      <c r="C22" s="7" t="s">
        <v>166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9.2218999999999998</v>
      </c>
      <c r="AE22" s="6">
        <v>9.4620000000000015</v>
      </c>
      <c r="AF22" s="6">
        <v>9.0625</v>
      </c>
      <c r="AG22" s="6"/>
      <c r="AH22" s="6"/>
      <c r="AI22" s="2">
        <f t="shared" si="0"/>
        <v>27.746400000000001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9.2107999999999919</v>
      </c>
      <c r="H107" s="3">
        <f t="shared" si="1"/>
        <v>9.1786000000000048</v>
      </c>
      <c r="I107" s="3">
        <f t="shared" si="1"/>
        <v>11</v>
      </c>
      <c r="J107" s="3">
        <f t="shared" si="1"/>
        <v>11.041399999999999</v>
      </c>
      <c r="K107" s="3">
        <f t="shared" si="1"/>
        <v>9.3244000000000007</v>
      </c>
      <c r="L107" s="3">
        <f t="shared" si="1"/>
        <v>0</v>
      </c>
      <c r="M107" s="3">
        <f t="shared" si="1"/>
        <v>0</v>
      </c>
      <c r="N107" s="3">
        <f t="shared" si="1"/>
        <v>9.1536000000000008</v>
      </c>
      <c r="O107" s="3">
        <f t="shared" si="1"/>
        <v>9.4757999999999996</v>
      </c>
      <c r="P107" s="3">
        <f t="shared" si="1"/>
        <v>9.4483999999999995</v>
      </c>
      <c r="Q107" s="3">
        <f t="shared" si="1"/>
        <v>9.4567000000000014</v>
      </c>
      <c r="R107" s="3">
        <f t="shared" si="1"/>
        <v>9.4511000000000003</v>
      </c>
      <c r="S107" s="3">
        <f t="shared" si="1"/>
        <v>0</v>
      </c>
      <c r="T107" s="3">
        <f t="shared" si="1"/>
        <v>0</v>
      </c>
      <c r="U107" s="3">
        <f t="shared" si="1"/>
        <v>9.3388999999999989</v>
      </c>
      <c r="V107" s="3">
        <f t="shared" si="1"/>
        <v>8.966700000000003</v>
      </c>
      <c r="W107" s="3">
        <f t="shared" si="1"/>
        <v>8.9849999999999994</v>
      </c>
      <c r="X107" s="3">
        <f t="shared" si="1"/>
        <v>9.1107999999999993</v>
      </c>
      <c r="Y107" s="3">
        <f t="shared" si="1"/>
        <v>9.3381000000000007</v>
      </c>
      <c r="Z107" s="3">
        <f t="shared" si="1"/>
        <v>0</v>
      </c>
      <c r="AA107" s="3">
        <f t="shared" si="1"/>
        <v>0</v>
      </c>
      <c r="AB107" s="3">
        <f t="shared" si="1"/>
        <v>9.0758999999999972</v>
      </c>
      <c r="AC107" s="3">
        <f t="shared" si="1"/>
        <v>3.7069000000000001</v>
      </c>
      <c r="AD107" s="3">
        <f t="shared" si="1"/>
        <v>9.2218999999999998</v>
      </c>
      <c r="AE107" s="3">
        <f t="shared" si="1"/>
        <v>9.4620000000000015</v>
      </c>
      <c r="AF107" s="3">
        <f t="shared" si="1"/>
        <v>9.0625</v>
      </c>
      <c r="AG107" s="3">
        <f t="shared" si="1"/>
        <v>0</v>
      </c>
      <c r="AH107" s="3">
        <f t="shared" si="1"/>
        <v>0</v>
      </c>
      <c r="AI107" s="1">
        <f>SUM(D107:AH107)</f>
        <v>192.01839999999999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Normal="100" workbookViewId="0">
      <pane xSplit="3" topLeftCell="E1" activePane="topRight" state="frozen"/>
      <selection pane="topRight" activeCell="E9" sqref="E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151</v>
      </c>
      <c r="C7" s="13" t="s">
        <v>152</v>
      </c>
      <c r="D7" s="12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</v>
      </c>
    </row>
    <row r="8" spans="1:35" x14ac:dyDescent="0.3">
      <c r="A8" s="24">
        <v>2</v>
      </c>
      <c r="B8" s="8" t="s">
        <v>151</v>
      </c>
      <c r="C8" s="8"/>
      <c r="D8" s="6"/>
      <c r="E8" s="6">
        <v>2.5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2.5</v>
      </c>
    </row>
    <row r="9" spans="1:35" x14ac:dyDescent="0.3">
      <c r="A9" s="24">
        <v>3</v>
      </c>
      <c r="B9" s="8" t="s">
        <v>151</v>
      </c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8" t="s">
        <v>151</v>
      </c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8" t="s">
        <v>151</v>
      </c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3.5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3.5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2025-08-29T21:13:04Z</dcterms:modified>
</cp:coreProperties>
</file>