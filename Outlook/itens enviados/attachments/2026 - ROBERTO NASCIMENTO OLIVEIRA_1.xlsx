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6\"/>
    </mc:Choice>
  </mc:AlternateContent>
  <workbookProtection workbookAlgorithmName="SHA-512" workbookHashValue="Ewpmmn3mazngWzKdI05dmBzAbZGVsiWgVNexr3GQtNYFGa8MzbVJ7EFMq//XWzeUMiv6J1/glCHVJc80qZl5tA==" workbookSaltValue="nrheCWpfCUqdChMF9Ld/Mg==" workbookSpinCount="100000" lockStructure="1"/>
  <bookViews>
    <workbookView xWindow="0" yWindow="0" windowWidth="28800" windowHeight="12315" tabRatio="868" activeTab="1"/>
  </bookViews>
  <sheets>
    <sheet name="Janeiro" sheetId="37" r:id="rId1"/>
    <sheet name="Fevereiro" sheetId="49" r:id="rId2"/>
    <sheet name="Março" sheetId="50" r:id="rId3"/>
    <sheet name="Abril" sheetId="51" r:id="rId4"/>
    <sheet name="Maio" sheetId="52" r:id="rId5"/>
    <sheet name="Junho" sheetId="53" r:id="rId6"/>
    <sheet name="Julho" sheetId="54" r:id="rId7"/>
    <sheet name="Agosto" sheetId="55" r:id="rId8"/>
    <sheet name="Setembro" sheetId="56" r:id="rId9"/>
    <sheet name="Outubro" sheetId="57" r:id="rId10"/>
    <sheet name="Novembro" sheetId="58" r:id="rId11"/>
    <sheet name="Dezembro" sheetId="59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07" i="59" l="1"/>
  <c r="AG107" i="59"/>
  <c r="AF107" i="59"/>
  <c r="AE107" i="59"/>
  <c r="AD107" i="59"/>
  <c r="AC107" i="59"/>
  <c r="AB107" i="59"/>
  <c r="AA107" i="59"/>
  <c r="Z107" i="59"/>
  <c r="Y107" i="59"/>
  <c r="X107" i="59"/>
  <c r="W107" i="59"/>
  <c r="V107" i="59"/>
  <c r="U107" i="59"/>
  <c r="T107" i="59"/>
  <c r="S107" i="59"/>
  <c r="R107" i="59"/>
  <c r="Q107" i="59"/>
  <c r="P107" i="59"/>
  <c r="O107" i="59"/>
  <c r="N107" i="59"/>
  <c r="M107" i="59"/>
  <c r="L107" i="59"/>
  <c r="K107" i="59"/>
  <c r="J107" i="59"/>
  <c r="I107" i="59"/>
  <c r="H107" i="59"/>
  <c r="G107" i="59"/>
  <c r="F107" i="59"/>
  <c r="E107" i="59"/>
  <c r="AI106" i="59"/>
  <c r="AI105" i="59"/>
  <c r="AI104" i="59"/>
  <c r="AI103" i="59"/>
  <c r="AI102" i="59"/>
  <c r="AI101" i="59"/>
  <c r="AI100" i="59"/>
  <c r="AI99" i="59"/>
  <c r="AI98" i="59"/>
  <c r="AI97" i="59"/>
  <c r="AI96" i="59"/>
  <c r="AI95" i="59"/>
  <c r="AI94" i="59"/>
  <c r="AI93" i="59"/>
  <c r="AI92" i="59"/>
  <c r="AI91" i="59"/>
  <c r="AI90" i="59"/>
  <c r="AI89" i="59"/>
  <c r="AI88" i="59"/>
  <c r="AI87" i="59"/>
  <c r="AI86" i="59"/>
  <c r="AI85" i="59"/>
  <c r="AI84" i="59"/>
  <c r="AI83" i="59"/>
  <c r="AI82" i="59"/>
  <c r="AI81" i="59"/>
  <c r="AI80" i="59"/>
  <c r="AI79" i="59"/>
  <c r="AI78" i="59"/>
  <c r="AI77" i="59"/>
  <c r="AI76" i="59"/>
  <c r="AI75" i="59"/>
  <c r="AI74" i="59"/>
  <c r="AI73" i="59"/>
  <c r="AI72" i="59"/>
  <c r="AI71" i="59"/>
  <c r="AI70" i="59"/>
  <c r="AI69" i="59"/>
  <c r="AI68" i="59"/>
  <c r="AI67" i="59"/>
  <c r="AI66" i="59"/>
  <c r="AI65" i="59"/>
  <c r="AI64" i="59"/>
  <c r="AI63" i="59"/>
  <c r="AI62" i="59"/>
  <c r="AI61" i="59"/>
  <c r="AI60" i="59"/>
  <c r="AI59" i="59"/>
  <c r="AI58" i="59"/>
  <c r="AI57" i="59"/>
  <c r="AI56" i="59"/>
  <c r="AI55" i="59"/>
  <c r="AI54" i="59"/>
  <c r="AI53" i="59"/>
  <c r="AI52" i="59"/>
  <c r="AI51" i="59"/>
  <c r="AI50" i="59"/>
  <c r="AI49" i="59"/>
  <c r="AI48" i="59"/>
  <c r="AI47" i="59"/>
  <c r="AI46" i="59"/>
  <c r="AI45" i="59"/>
  <c r="AI44" i="59"/>
  <c r="AI43" i="59"/>
  <c r="AI42" i="59"/>
  <c r="AI41" i="59"/>
  <c r="AI40" i="59"/>
  <c r="AI39" i="59"/>
  <c r="AI38" i="59"/>
  <c r="AI37" i="59"/>
  <c r="AI36" i="59"/>
  <c r="AI35" i="59"/>
  <c r="AI34" i="59"/>
  <c r="AI33" i="59"/>
  <c r="AI32" i="59"/>
  <c r="AI31" i="59"/>
  <c r="AI30" i="59"/>
  <c r="AI29" i="59"/>
  <c r="AI28" i="59"/>
  <c r="AI27" i="59"/>
  <c r="AI26" i="59"/>
  <c r="AI25" i="59"/>
  <c r="AI24" i="59"/>
  <c r="AI23" i="59"/>
  <c r="AI22" i="59"/>
  <c r="AI21" i="59"/>
  <c r="AI20" i="59"/>
  <c r="AI19" i="59"/>
  <c r="AI18" i="59"/>
  <c r="AI17" i="59"/>
  <c r="AI16" i="59"/>
  <c r="AI15" i="59"/>
  <c r="AI14" i="59"/>
  <c r="AI13" i="59"/>
  <c r="AI12" i="59"/>
  <c r="AI11" i="59"/>
  <c r="AI9" i="59"/>
  <c r="AI8" i="59"/>
  <c r="AI7" i="59"/>
  <c r="AH107" i="58"/>
  <c r="AG107" i="58"/>
  <c r="AF107" i="58"/>
  <c r="AE107" i="58"/>
  <c r="AD107" i="58"/>
  <c r="AC107" i="58"/>
  <c r="AB107" i="58"/>
  <c r="AA107" i="58"/>
  <c r="Z107" i="58"/>
  <c r="Y1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K107" i="58"/>
  <c r="J107" i="58"/>
  <c r="I107" i="58"/>
  <c r="H107" i="58"/>
  <c r="G107" i="58"/>
  <c r="F107" i="58"/>
  <c r="E107" i="58"/>
  <c r="D107" i="58"/>
  <c r="AI106" i="58"/>
  <c r="AI105" i="58"/>
  <c r="AI104" i="58"/>
  <c r="AI103" i="58"/>
  <c r="AI102" i="58"/>
  <c r="AI101" i="58"/>
  <c r="AI100" i="58"/>
  <c r="AI99" i="58"/>
  <c r="AI98" i="58"/>
  <c r="AI97" i="58"/>
  <c r="AI96" i="58"/>
  <c r="AI95" i="58"/>
  <c r="AI94" i="58"/>
  <c r="AI93" i="58"/>
  <c r="AI92" i="58"/>
  <c r="AI91" i="58"/>
  <c r="AI90" i="58"/>
  <c r="AI89" i="58"/>
  <c r="AI88" i="58"/>
  <c r="AI87" i="58"/>
  <c r="AI86" i="58"/>
  <c r="AI85" i="58"/>
  <c r="AI84" i="58"/>
  <c r="AI83" i="58"/>
  <c r="AI82" i="58"/>
  <c r="AI81" i="58"/>
  <c r="AI80" i="58"/>
  <c r="AI79" i="58"/>
  <c r="AI78" i="58"/>
  <c r="AI77" i="58"/>
  <c r="AI76" i="58"/>
  <c r="AI75" i="58"/>
  <c r="AI74" i="58"/>
  <c r="AI73" i="58"/>
  <c r="AI72" i="58"/>
  <c r="AI71" i="58"/>
  <c r="AI70" i="58"/>
  <c r="AI69" i="58"/>
  <c r="AI68" i="58"/>
  <c r="AI67" i="58"/>
  <c r="AI66" i="58"/>
  <c r="AI65" i="58"/>
  <c r="AI64" i="58"/>
  <c r="AI63" i="58"/>
  <c r="AI62" i="58"/>
  <c r="AI61" i="58"/>
  <c r="AI60" i="58"/>
  <c r="AI59" i="58"/>
  <c r="AI58" i="58"/>
  <c r="AI57" i="58"/>
  <c r="AI56" i="58"/>
  <c r="AI55" i="58"/>
  <c r="AI54" i="58"/>
  <c r="AI53" i="58"/>
  <c r="AI52" i="58"/>
  <c r="AI51" i="58"/>
  <c r="AI50" i="58"/>
  <c r="AI49" i="58"/>
  <c r="AI48" i="58"/>
  <c r="AI47" i="58"/>
  <c r="AI46" i="58"/>
  <c r="AI45" i="58"/>
  <c r="AI44" i="58"/>
  <c r="AI43" i="58"/>
  <c r="AI42" i="58"/>
  <c r="AI41" i="58"/>
  <c r="AI40" i="58"/>
  <c r="AI39" i="58"/>
  <c r="AI38" i="58"/>
  <c r="AI37" i="58"/>
  <c r="AI36" i="58"/>
  <c r="AI35" i="58"/>
  <c r="AI34" i="58"/>
  <c r="AI33" i="58"/>
  <c r="AI32" i="58"/>
  <c r="AI31" i="58"/>
  <c r="AI30" i="58"/>
  <c r="AI29" i="58"/>
  <c r="AI28" i="58"/>
  <c r="AI27" i="58"/>
  <c r="AI26" i="58"/>
  <c r="AI25" i="58"/>
  <c r="AI24" i="58"/>
  <c r="AI23" i="58"/>
  <c r="AI22" i="58"/>
  <c r="AI21" i="58"/>
  <c r="AI20" i="58"/>
  <c r="AI19" i="58"/>
  <c r="AI18" i="58"/>
  <c r="AI17" i="58"/>
  <c r="AI16" i="58"/>
  <c r="AI15" i="58"/>
  <c r="AI14" i="58"/>
  <c r="AI13" i="58"/>
  <c r="AI12" i="58"/>
  <c r="AI11" i="58"/>
  <c r="AI10" i="58"/>
  <c r="AI9" i="58"/>
  <c r="AI8" i="58"/>
  <c r="AI7" i="58"/>
  <c r="AH107" i="57"/>
  <c r="AG107" i="57"/>
  <c r="AF107" i="57"/>
  <c r="AE107" i="57"/>
  <c r="AD107" i="57"/>
  <c r="AC107" i="57"/>
  <c r="AB107" i="57"/>
  <c r="AA107" i="57"/>
  <c r="Z107" i="57"/>
  <c r="Y107" i="57"/>
  <c r="X107" i="57"/>
  <c r="W107" i="57"/>
  <c r="V107" i="57"/>
  <c r="U107" i="57"/>
  <c r="T107" i="57"/>
  <c r="S107" i="57"/>
  <c r="R107" i="57"/>
  <c r="Q107" i="57"/>
  <c r="P107" i="57"/>
  <c r="O107" i="57"/>
  <c r="N107" i="57"/>
  <c r="M107" i="57"/>
  <c r="L107" i="57"/>
  <c r="K107" i="57"/>
  <c r="J107" i="57"/>
  <c r="I107" i="57"/>
  <c r="H107" i="57"/>
  <c r="G107" i="57"/>
  <c r="F107" i="57"/>
  <c r="E107" i="57"/>
  <c r="D107" i="57"/>
  <c r="AI106" i="57"/>
  <c r="AI105" i="57"/>
  <c r="AI104" i="57"/>
  <c r="AI103" i="57"/>
  <c r="AI102" i="57"/>
  <c r="AI101" i="57"/>
  <c r="AI100" i="57"/>
  <c r="AI99" i="57"/>
  <c r="AI98" i="57"/>
  <c r="AI97" i="57"/>
  <c r="AI96" i="57"/>
  <c r="AI95" i="57"/>
  <c r="AI94" i="57"/>
  <c r="AI93" i="57"/>
  <c r="AI92" i="57"/>
  <c r="AI91" i="57"/>
  <c r="AI90" i="57"/>
  <c r="AI89" i="57"/>
  <c r="AI88" i="57"/>
  <c r="AI87" i="57"/>
  <c r="AI86" i="57"/>
  <c r="AI85" i="57"/>
  <c r="AI84" i="57"/>
  <c r="AI83" i="57"/>
  <c r="AI82" i="57"/>
  <c r="AI81" i="57"/>
  <c r="AI80" i="57"/>
  <c r="AI79" i="57"/>
  <c r="AI78" i="57"/>
  <c r="AI77" i="57"/>
  <c r="AI76" i="57"/>
  <c r="AI75" i="57"/>
  <c r="AI74" i="57"/>
  <c r="AI73" i="57"/>
  <c r="AI72" i="57"/>
  <c r="AI71" i="57"/>
  <c r="AI70" i="57"/>
  <c r="AI69" i="57"/>
  <c r="AI68" i="57"/>
  <c r="AI67" i="57"/>
  <c r="AI66" i="57"/>
  <c r="AI65" i="57"/>
  <c r="AI64" i="57"/>
  <c r="AI63" i="57"/>
  <c r="AI62" i="57"/>
  <c r="AI61" i="57"/>
  <c r="AI60" i="57"/>
  <c r="AI59" i="57"/>
  <c r="AI58" i="57"/>
  <c r="AI57" i="57"/>
  <c r="AI56" i="57"/>
  <c r="AI55" i="57"/>
  <c r="AI54" i="57"/>
  <c r="AI53" i="57"/>
  <c r="AI52" i="57"/>
  <c r="AI51" i="57"/>
  <c r="AI50" i="57"/>
  <c r="AI49" i="57"/>
  <c r="AI48" i="57"/>
  <c r="AI47" i="57"/>
  <c r="AI46" i="57"/>
  <c r="AI45" i="57"/>
  <c r="AI44" i="57"/>
  <c r="AI43" i="57"/>
  <c r="AI42" i="57"/>
  <c r="AI41" i="57"/>
  <c r="AI40" i="57"/>
  <c r="AI39" i="57"/>
  <c r="AI38" i="57"/>
  <c r="AI37" i="57"/>
  <c r="AI36" i="57"/>
  <c r="AI35" i="57"/>
  <c r="AI34" i="57"/>
  <c r="AI33" i="57"/>
  <c r="AI32" i="57"/>
  <c r="AI31" i="57"/>
  <c r="AI30" i="57"/>
  <c r="AI29" i="57"/>
  <c r="AI28" i="57"/>
  <c r="AI27" i="57"/>
  <c r="AI26" i="57"/>
  <c r="AI25" i="57"/>
  <c r="AI24" i="57"/>
  <c r="AI23" i="57"/>
  <c r="AI22" i="57"/>
  <c r="AI21" i="57"/>
  <c r="AI20" i="57"/>
  <c r="AI19" i="57"/>
  <c r="AI18" i="57"/>
  <c r="AI17" i="57"/>
  <c r="AI16" i="57"/>
  <c r="AI15" i="57"/>
  <c r="AI14" i="57"/>
  <c r="AI13" i="57"/>
  <c r="AI12" i="57"/>
  <c r="AI11" i="57"/>
  <c r="AI10" i="57"/>
  <c r="AI9" i="57"/>
  <c r="AI8" i="57"/>
  <c r="AI7" i="57"/>
  <c r="AH107" i="56"/>
  <c r="AG107" i="56"/>
  <c r="AF107" i="56"/>
  <c r="AE107" i="56"/>
  <c r="AD107" i="56"/>
  <c r="AC107" i="56"/>
  <c r="AB107" i="56"/>
  <c r="AA107" i="56"/>
  <c r="Z107" i="56"/>
  <c r="Y107" i="56"/>
  <c r="X107" i="56"/>
  <c r="W107" i="56"/>
  <c r="V107" i="56"/>
  <c r="U107" i="56"/>
  <c r="T107" i="56"/>
  <c r="S107" i="56"/>
  <c r="R107" i="56"/>
  <c r="Q107" i="56"/>
  <c r="P107" i="56"/>
  <c r="O107" i="56"/>
  <c r="N107" i="56"/>
  <c r="M107" i="56"/>
  <c r="L107" i="56"/>
  <c r="K107" i="56"/>
  <c r="J107" i="56"/>
  <c r="I107" i="56"/>
  <c r="H107" i="56"/>
  <c r="G107" i="56"/>
  <c r="F107" i="56"/>
  <c r="E107" i="56"/>
  <c r="D107" i="56"/>
  <c r="AI106" i="56"/>
  <c r="AI105" i="56"/>
  <c r="AI104" i="56"/>
  <c r="AI103" i="56"/>
  <c r="AI102" i="56"/>
  <c r="AI101" i="56"/>
  <c r="AI100" i="56"/>
  <c r="AI99" i="56"/>
  <c r="AI98" i="56"/>
  <c r="AI97" i="56"/>
  <c r="AI96" i="56"/>
  <c r="AI95" i="56"/>
  <c r="AI94" i="56"/>
  <c r="AI93" i="56"/>
  <c r="AI92" i="56"/>
  <c r="AI91" i="56"/>
  <c r="AI90" i="56"/>
  <c r="AI89" i="56"/>
  <c r="AI88" i="56"/>
  <c r="AI87" i="56"/>
  <c r="AI86" i="56"/>
  <c r="AI85" i="56"/>
  <c r="AI84" i="56"/>
  <c r="AI83" i="56"/>
  <c r="AI82" i="56"/>
  <c r="AI81" i="56"/>
  <c r="AI80" i="56"/>
  <c r="AI79" i="56"/>
  <c r="AI78" i="56"/>
  <c r="AI77" i="56"/>
  <c r="AI76" i="56"/>
  <c r="AI75" i="56"/>
  <c r="AI74" i="56"/>
  <c r="AI73" i="56"/>
  <c r="AI72" i="56"/>
  <c r="AI71" i="56"/>
  <c r="AI70" i="56"/>
  <c r="AI69" i="56"/>
  <c r="AI68" i="56"/>
  <c r="AI67" i="56"/>
  <c r="AI66" i="56"/>
  <c r="AI65" i="56"/>
  <c r="AI64" i="56"/>
  <c r="AI63" i="56"/>
  <c r="AI62" i="56"/>
  <c r="AI61" i="56"/>
  <c r="AI60" i="56"/>
  <c r="AI59" i="56"/>
  <c r="AI58" i="56"/>
  <c r="AI57" i="56"/>
  <c r="AI56" i="56"/>
  <c r="AI55" i="56"/>
  <c r="AI54" i="56"/>
  <c r="AI53" i="56"/>
  <c r="AI52" i="56"/>
  <c r="AI51" i="56"/>
  <c r="AI50" i="56"/>
  <c r="AI49" i="56"/>
  <c r="AI48" i="56"/>
  <c r="AI47" i="56"/>
  <c r="AI46" i="56"/>
  <c r="AI45" i="56"/>
  <c r="AI44" i="56"/>
  <c r="AI43" i="56"/>
  <c r="AI42" i="56"/>
  <c r="AI41" i="56"/>
  <c r="AI40" i="56"/>
  <c r="AI39" i="56"/>
  <c r="AI38" i="56"/>
  <c r="AI37" i="56"/>
  <c r="AI36" i="56"/>
  <c r="AI35" i="56"/>
  <c r="AI34" i="56"/>
  <c r="AI33" i="56"/>
  <c r="AI32" i="56"/>
  <c r="AI31" i="56"/>
  <c r="AI30" i="56"/>
  <c r="AI29" i="56"/>
  <c r="AI28" i="56"/>
  <c r="AI27" i="56"/>
  <c r="AI26" i="56"/>
  <c r="AI25" i="56"/>
  <c r="AI24" i="56"/>
  <c r="AI23" i="56"/>
  <c r="AI22" i="56"/>
  <c r="AI21" i="56"/>
  <c r="AI20" i="56"/>
  <c r="AI19" i="56"/>
  <c r="AI18" i="56"/>
  <c r="AI17" i="56"/>
  <c r="AI16" i="56"/>
  <c r="AI15" i="56"/>
  <c r="AI14" i="56"/>
  <c r="AI13" i="56"/>
  <c r="AI12" i="56"/>
  <c r="AI11" i="56"/>
  <c r="AI10" i="56"/>
  <c r="AI9" i="56"/>
  <c r="AI8" i="56"/>
  <c r="AI7" i="56"/>
  <c r="AH107" i="55"/>
  <c r="AG107" i="55"/>
  <c r="AF107" i="55"/>
  <c r="AE107" i="55"/>
  <c r="AD107" i="55"/>
  <c r="AC107" i="55"/>
  <c r="AB107" i="55"/>
  <c r="AA107" i="55"/>
  <c r="Z107" i="55"/>
  <c r="Y107" i="55"/>
  <c r="X107" i="55"/>
  <c r="W107" i="55"/>
  <c r="V107" i="55"/>
  <c r="U107" i="55"/>
  <c r="T107" i="55"/>
  <c r="S107" i="55"/>
  <c r="R107" i="55"/>
  <c r="Q107" i="55"/>
  <c r="P107" i="55"/>
  <c r="O107" i="55"/>
  <c r="N107" i="55"/>
  <c r="M107" i="55"/>
  <c r="L107" i="55"/>
  <c r="K107" i="55"/>
  <c r="J107" i="55"/>
  <c r="I107" i="55"/>
  <c r="H107" i="55"/>
  <c r="G107" i="55"/>
  <c r="F107" i="55"/>
  <c r="E107" i="55"/>
  <c r="D107" i="55"/>
  <c r="AI106" i="55"/>
  <c r="AI105" i="55"/>
  <c r="AI104" i="55"/>
  <c r="AI103" i="55"/>
  <c r="AI102" i="55"/>
  <c r="AI101" i="55"/>
  <c r="AI100" i="55"/>
  <c r="AI99" i="55"/>
  <c r="AI98" i="55"/>
  <c r="AI97" i="55"/>
  <c r="AI96" i="55"/>
  <c r="AI95" i="55"/>
  <c r="AI94" i="55"/>
  <c r="AI93" i="55"/>
  <c r="AI92" i="55"/>
  <c r="AI91" i="55"/>
  <c r="AI90" i="55"/>
  <c r="AI89" i="55"/>
  <c r="AI88" i="55"/>
  <c r="AI87" i="55"/>
  <c r="AI86" i="55"/>
  <c r="AI85" i="55"/>
  <c r="AI84" i="55"/>
  <c r="AI83" i="55"/>
  <c r="AI82" i="55"/>
  <c r="AI81" i="55"/>
  <c r="AI80" i="55"/>
  <c r="AI79" i="55"/>
  <c r="AI78" i="55"/>
  <c r="AI77" i="55"/>
  <c r="AI76" i="55"/>
  <c r="AI75" i="55"/>
  <c r="AI74" i="55"/>
  <c r="AI73" i="55"/>
  <c r="AI72" i="55"/>
  <c r="AI71" i="55"/>
  <c r="AI70" i="55"/>
  <c r="AI69" i="55"/>
  <c r="AI68" i="55"/>
  <c r="AI67" i="55"/>
  <c r="AI66" i="55"/>
  <c r="AI65" i="55"/>
  <c r="AI64" i="55"/>
  <c r="AI63" i="55"/>
  <c r="AI62" i="55"/>
  <c r="AI61" i="55"/>
  <c r="AI60" i="55"/>
  <c r="AI59" i="55"/>
  <c r="AI58" i="55"/>
  <c r="AI57" i="55"/>
  <c r="AI56" i="55"/>
  <c r="AI55" i="55"/>
  <c r="AI54" i="55"/>
  <c r="AI53" i="55"/>
  <c r="AI52" i="55"/>
  <c r="AI51" i="55"/>
  <c r="AI50" i="55"/>
  <c r="AI49" i="55"/>
  <c r="AI48" i="55"/>
  <c r="AI47" i="55"/>
  <c r="AI46" i="55"/>
  <c r="AI45" i="55"/>
  <c r="AI44" i="55"/>
  <c r="AI43" i="55"/>
  <c r="AI42" i="55"/>
  <c r="AI41" i="55"/>
  <c r="AI40" i="55"/>
  <c r="AI39" i="55"/>
  <c r="AI38" i="55"/>
  <c r="AI37" i="55"/>
  <c r="AI36" i="55"/>
  <c r="AI35" i="55"/>
  <c r="AI34" i="55"/>
  <c r="AI33" i="55"/>
  <c r="AI32" i="55"/>
  <c r="AI31" i="55"/>
  <c r="AI30" i="55"/>
  <c r="AI29" i="55"/>
  <c r="AI28" i="55"/>
  <c r="AI27" i="55"/>
  <c r="AI26" i="55"/>
  <c r="AI25" i="55"/>
  <c r="AI24" i="55"/>
  <c r="AI23" i="55"/>
  <c r="AI22" i="55"/>
  <c r="AI21" i="55"/>
  <c r="AI20" i="55"/>
  <c r="AI19" i="55"/>
  <c r="AI18" i="55"/>
  <c r="AI17" i="55"/>
  <c r="AI16" i="55"/>
  <c r="AI15" i="55"/>
  <c r="AI14" i="55"/>
  <c r="AI13" i="55"/>
  <c r="AI12" i="55"/>
  <c r="AI11" i="55"/>
  <c r="AI10" i="55"/>
  <c r="AI9" i="55"/>
  <c r="AI8" i="55"/>
  <c r="AI7" i="55"/>
  <c r="AH107" i="54"/>
  <c r="AG107" i="54"/>
  <c r="AF107" i="54"/>
  <c r="AE107" i="54"/>
  <c r="AD107" i="54"/>
  <c r="AC107" i="54"/>
  <c r="AB107" i="54"/>
  <c r="AA107" i="54"/>
  <c r="Z107" i="54"/>
  <c r="Y107" i="54"/>
  <c r="X107" i="54"/>
  <c r="W107" i="54"/>
  <c r="V107" i="54"/>
  <c r="U107" i="54"/>
  <c r="T107" i="54"/>
  <c r="S107" i="54"/>
  <c r="R107" i="54"/>
  <c r="Q107" i="54"/>
  <c r="P107" i="54"/>
  <c r="O107" i="54"/>
  <c r="N107" i="54"/>
  <c r="M107" i="54"/>
  <c r="L107" i="54"/>
  <c r="K107" i="54"/>
  <c r="J107" i="54"/>
  <c r="I107" i="54"/>
  <c r="H107" i="54"/>
  <c r="G107" i="54"/>
  <c r="F107" i="54"/>
  <c r="E107" i="54"/>
  <c r="D107" i="54"/>
  <c r="AI106" i="54"/>
  <c r="AI105" i="54"/>
  <c r="AI104" i="54"/>
  <c r="AI103" i="54"/>
  <c r="AI102" i="54"/>
  <c r="AI101" i="54"/>
  <c r="AI100" i="54"/>
  <c r="AI99" i="54"/>
  <c r="AI98" i="54"/>
  <c r="AI97" i="54"/>
  <c r="AI96" i="54"/>
  <c r="AI95" i="54"/>
  <c r="AI94" i="54"/>
  <c r="AI93" i="54"/>
  <c r="AI92" i="54"/>
  <c r="AI91" i="54"/>
  <c r="AI90" i="54"/>
  <c r="AI89" i="54"/>
  <c r="AI88" i="54"/>
  <c r="AI87" i="54"/>
  <c r="AI86" i="54"/>
  <c r="AI85" i="54"/>
  <c r="AI84" i="54"/>
  <c r="AI83" i="54"/>
  <c r="AI82" i="54"/>
  <c r="AI81" i="54"/>
  <c r="AI80" i="54"/>
  <c r="AI79" i="54"/>
  <c r="AI78" i="54"/>
  <c r="AI77" i="54"/>
  <c r="AI76" i="54"/>
  <c r="AI75" i="54"/>
  <c r="AI74" i="54"/>
  <c r="AI73" i="54"/>
  <c r="AI72" i="54"/>
  <c r="AI71" i="54"/>
  <c r="AI70" i="54"/>
  <c r="AI69" i="54"/>
  <c r="AI68" i="54"/>
  <c r="AI67" i="54"/>
  <c r="AI66" i="54"/>
  <c r="AI65" i="54"/>
  <c r="AI64" i="54"/>
  <c r="AI63" i="54"/>
  <c r="AI62" i="54"/>
  <c r="AI61" i="54"/>
  <c r="AI60" i="54"/>
  <c r="AI59" i="54"/>
  <c r="AI58" i="54"/>
  <c r="AI57" i="54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I41" i="54"/>
  <c r="AI40" i="54"/>
  <c r="AI39" i="54"/>
  <c r="AI38" i="54"/>
  <c r="AI37" i="54"/>
  <c r="AI36" i="54"/>
  <c r="AI35" i="54"/>
  <c r="AI34" i="54"/>
  <c r="AI33" i="54"/>
  <c r="AI32" i="54"/>
  <c r="AI31" i="54"/>
  <c r="AI30" i="54"/>
  <c r="AI29" i="54"/>
  <c r="AI28" i="54"/>
  <c r="AI27" i="54"/>
  <c r="AI26" i="54"/>
  <c r="AI25" i="54"/>
  <c r="AI24" i="54"/>
  <c r="AI23" i="54"/>
  <c r="AI22" i="54"/>
  <c r="AI21" i="54"/>
  <c r="AI20" i="54"/>
  <c r="AI19" i="54"/>
  <c r="AI18" i="54"/>
  <c r="AI17" i="54"/>
  <c r="AI16" i="54"/>
  <c r="AI15" i="54"/>
  <c r="AI14" i="54"/>
  <c r="AI13" i="54"/>
  <c r="AI12" i="54"/>
  <c r="AI11" i="54"/>
  <c r="AI10" i="54"/>
  <c r="AI9" i="54"/>
  <c r="AI8" i="54"/>
  <c r="AI7" i="54"/>
  <c r="AH107" i="53"/>
  <c r="AG107" i="53"/>
  <c r="AF107" i="53"/>
  <c r="AE107" i="53"/>
  <c r="AD107" i="53"/>
  <c r="AC107" i="53"/>
  <c r="AB107" i="53"/>
  <c r="AA107" i="53"/>
  <c r="Z107" i="53"/>
  <c r="Y107" i="53"/>
  <c r="X107" i="53"/>
  <c r="W107" i="53"/>
  <c r="V107" i="53"/>
  <c r="U107" i="53"/>
  <c r="T107" i="53"/>
  <c r="S107" i="53"/>
  <c r="R107" i="53"/>
  <c r="Q107" i="53"/>
  <c r="P107" i="53"/>
  <c r="O107" i="53"/>
  <c r="N107" i="53"/>
  <c r="M107" i="53"/>
  <c r="L107" i="53"/>
  <c r="K107" i="53"/>
  <c r="J107" i="53"/>
  <c r="I107" i="53"/>
  <c r="H107" i="53"/>
  <c r="G107" i="53"/>
  <c r="F107" i="53"/>
  <c r="E107" i="53"/>
  <c r="D107" i="53"/>
  <c r="AI106" i="53"/>
  <c r="AI105" i="53"/>
  <c r="AI104" i="53"/>
  <c r="AI103" i="53"/>
  <c r="AI102" i="53"/>
  <c r="AI101" i="53"/>
  <c r="AI100" i="53"/>
  <c r="AI99" i="53"/>
  <c r="AI98" i="53"/>
  <c r="AI97" i="53"/>
  <c r="AI96" i="53"/>
  <c r="AI95" i="53"/>
  <c r="AI94" i="53"/>
  <c r="AI93" i="53"/>
  <c r="AI92" i="53"/>
  <c r="AI91" i="53"/>
  <c r="AI90" i="53"/>
  <c r="AI89" i="53"/>
  <c r="AI88" i="53"/>
  <c r="AI87" i="53"/>
  <c r="AI86" i="53"/>
  <c r="AI85" i="53"/>
  <c r="AI84" i="53"/>
  <c r="AI83" i="53"/>
  <c r="AI82" i="53"/>
  <c r="AI81" i="53"/>
  <c r="AI80" i="53"/>
  <c r="AI79" i="53"/>
  <c r="AI78" i="53"/>
  <c r="AI77" i="53"/>
  <c r="AI76" i="53"/>
  <c r="AI75" i="53"/>
  <c r="AI74" i="53"/>
  <c r="AI73" i="53"/>
  <c r="AI72" i="53"/>
  <c r="AI71" i="53"/>
  <c r="AI70" i="53"/>
  <c r="AI69" i="53"/>
  <c r="AI68" i="53"/>
  <c r="AI67" i="53"/>
  <c r="AI66" i="53"/>
  <c r="AI65" i="53"/>
  <c r="AI64" i="53"/>
  <c r="AI63" i="53"/>
  <c r="AI62" i="53"/>
  <c r="AI61" i="53"/>
  <c r="AI60" i="53"/>
  <c r="AI59" i="53"/>
  <c r="AI58" i="53"/>
  <c r="AI57" i="53"/>
  <c r="AI56" i="53"/>
  <c r="AI55" i="53"/>
  <c r="AI54" i="53"/>
  <c r="AI53" i="53"/>
  <c r="AI52" i="53"/>
  <c r="AI51" i="53"/>
  <c r="AI50" i="53"/>
  <c r="AI49" i="53"/>
  <c r="AI48" i="53"/>
  <c r="AI47" i="53"/>
  <c r="AI46" i="53"/>
  <c r="AI45" i="53"/>
  <c r="AI44" i="53"/>
  <c r="AI43" i="53"/>
  <c r="AI42" i="53"/>
  <c r="AI41" i="53"/>
  <c r="AI40" i="53"/>
  <c r="AI39" i="53"/>
  <c r="AI38" i="53"/>
  <c r="AI37" i="53"/>
  <c r="AI36" i="53"/>
  <c r="AI35" i="53"/>
  <c r="AI34" i="53"/>
  <c r="AI33" i="53"/>
  <c r="AI32" i="53"/>
  <c r="AI31" i="53"/>
  <c r="AI30" i="53"/>
  <c r="AI29" i="53"/>
  <c r="AI28" i="53"/>
  <c r="AI27" i="53"/>
  <c r="AI26" i="53"/>
  <c r="AI25" i="53"/>
  <c r="AI24" i="53"/>
  <c r="AI23" i="53"/>
  <c r="AI22" i="53"/>
  <c r="AI21" i="53"/>
  <c r="AI20" i="53"/>
  <c r="AI19" i="53"/>
  <c r="AI18" i="53"/>
  <c r="AI17" i="53"/>
  <c r="AI16" i="53"/>
  <c r="AI15" i="53"/>
  <c r="AI14" i="53"/>
  <c r="AI13" i="53"/>
  <c r="AI12" i="53"/>
  <c r="AI11" i="53"/>
  <c r="AI10" i="53"/>
  <c r="AI9" i="53"/>
  <c r="AI8" i="53"/>
  <c r="AI7" i="53"/>
  <c r="AH107" i="52"/>
  <c r="AG107" i="52"/>
  <c r="AF107" i="52"/>
  <c r="AE107" i="52"/>
  <c r="AD107" i="52"/>
  <c r="AC107" i="52"/>
  <c r="AB107" i="52"/>
  <c r="AA107" i="52"/>
  <c r="Z107" i="52"/>
  <c r="Y107" i="52"/>
  <c r="X107" i="52"/>
  <c r="W107" i="52"/>
  <c r="V107" i="52"/>
  <c r="U107" i="52"/>
  <c r="T107" i="52"/>
  <c r="S107" i="52"/>
  <c r="R107" i="52"/>
  <c r="Q107" i="52"/>
  <c r="P107" i="52"/>
  <c r="O107" i="52"/>
  <c r="N107" i="52"/>
  <c r="M107" i="52"/>
  <c r="L107" i="52"/>
  <c r="K107" i="52"/>
  <c r="J107" i="52"/>
  <c r="I107" i="52"/>
  <c r="H107" i="52"/>
  <c r="G107" i="52"/>
  <c r="F107" i="52"/>
  <c r="E107" i="52"/>
  <c r="D107" i="52"/>
  <c r="AI106" i="52"/>
  <c r="AI105" i="52"/>
  <c r="AI104" i="52"/>
  <c r="AI103" i="52"/>
  <c r="AI102" i="52"/>
  <c r="AI101" i="52"/>
  <c r="AI100" i="52"/>
  <c r="AI99" i="52"/>
  <c r="AI98" i="52"/>
  <c r="AI97" i="52"/>
  <c r="AI96" i="52"/>
  <c r="AI95" i="52"/>
  <c r="AI94" i="52"/>
  <c r="AI93" i="52"/>
  <c r="AI92" i="52"/>
  <c r="AI91" i="52"/>
  <c r="AI90" i="52"/>
  <c r="AI89" i="52"/>
  <c r="AI88" i="52"/>
  <c r="AI87" i="52"/>
  <c r="AI86" i="52"/>
  <c r="AI85" i="52"/>
  <c r="AI84" i="52"/>
  <c r="AI83" i="52"/>
  <c r="AI82" i="52"/>
  <c r="AI81" i="52"/>
  <c r="AI80" i="52"/>
  <c r="AI79" i="52"/>
  <c r="AI78" i="52"/>
  <c r="AI77" i="52"/>
  <c r="AI76" i="52"/>
  <c r="AI75" i="52"/>
  <c r="AI74" i="52"/>
  <c r="AI73" i="52"/>
  <c r="AI72" i="52"/>
  <c r="AI71" i="52"/>
  <c r="AI70" i="52"/>
  <c r="AI69" i="52"/>
  <c r="AI68" i="52"/>
  <c r="AI67" i="52"/>
  <c r="AI66" i="52"/>
  <c r="AI65" i="52"/>
  <c r="AI64" i="52"/>
  <c r="AI63" i="52"/>
  <c r="AI62" i="52"/>
  <c r="AI61" i="52"/>
  <c r="AI60" i="52"/>
  <c r="AI59" i="52"/>
  <c r="AI58" i="52"/>
  <c r="AI57" i="52"/>
  <c r="AI56" i="52"/>
  <c r="AI55" i="52"/>
  <c r="AI54" i="52"/>
  <c r="AI53" i="52"/>
  <c r="AI52" i="52"/>
  <c r="AI51" i="52"/>
  <c r="AI50" i="52"/>
  <c r="AI49" i="52"/>
  <c r="AI48" i="52"/>
  <c r="AI47" i="52"/>
  <c r="AI46" i="52"/>
  <c r="AI45" i="52"/>
  <c r="AI44" i="52"/>
  <c r="AI43" i="52"/>
  <c r="AI42" i="52"/>
  <c r="AI41" i="52"/>
  <c r="AI40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27" i="52"/>
  <c r="AI26" i="52"/>
  <c r="AI25" i="52"/>
  <c r="AI24" i="52"/>
  <c r="AI23" i="52"/>
  <c r="AI22" i="52"/>
  <c r="AI21" i="52"/>
  <c r="AI20" i="52"/>
  <c r="AI19" i="52"/>
  <c r="AI18" i="52"/>
  <c r="AI17" i="52"/>
  <c r="AI16" i="52"/>
  <c r="AI15" i="52"/>
  <c r="AI14" i="52"/>
  <c r="AI13" i="52"/>
  <c r="AI12" i="52"/>
  <c r="AI11" i="52"/>
  <c r="AI10" i="52"/>
  <c r="AI9" i="52"/>
  <c r="AI8" i="52"/>
  <c r="AI7" i="52"/>
  <c r="AH107" i="51"/>
  <c r="AG107" i="51"/>
  <c r="AF107" i="51"/>
  <c r="AE107" i="51"/>
  <c r="AD107" i="51"/>
  <c r="AC107" i="51"/>
  <c r="AB107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AI106" i="51"/>
  <c r="AI105" i="51"/>
  <c r="AI104" i="51"/>
  <c r="AI103" i="51"/>
  <c r="AI102" i="51"/>
  <c r="AI101" i="51"/>
  <c r="AI100" i="51"/>
  <c r="AI99" i="51"/>
  <c r="AI98" i="51"/>
  <c r="AI97" i="51"/>
  <c r="AI96" i="51"/>
  <c r="AI95" i="51"/>
  <c r="AI94" i="51"/>
  <c r="AI93" i="51"/>
  <c r="AI92" i="51"/>
  <c r="AI91" i="51"/>
  <c r="AI90" i="51"/>
  <c r="AI89" i="51"/>
  <c r="AI88" i="51"/>
  <c r="AI87" i="51"/>
  <c r="AI86" i="51"/>
  <c r="AI85" i="51"/>
  <c r="AI84" i="51"/>
  <c r="AI83" i="51"/>
  <c r="AI82" i="51"/>
  <c r="AI81" i="51"/>
  <c r="AI80" i="51"/>
  <c r="AI79" i="51"/>
  <c r="AI78" i="51"/>
  <c r="AI77" i="51"/>
  <c r="AI76" i="51"/>
  <c r="AI75" i="51"/>
  <c r="AI74" i="51"/>
  <c r="AI73" i="51"/>
  <c r="AI72" i="51"/>
  <c r="AI71" i="51"/>
  <c r="AI70" i="51"/>
  <c r="AI69" i="51"/>
  <c r="AI68" i="51"/>
  <c r="AI67" i="51"/>
  <c r="AI66" i="51"/>
  <c r="AI65" i="51"/>
  <c r="AI64" i="51"/>
  <c r="AI63" i="51"/>
  <c r="AI62" i="51"/>
  <c r="AI61" i="51"/>
  <c r="AI60" i="51"/>
  <c r="AI59" i="51"/>
  <c r="AI58" i="51"/>
  <c r="AI57" i="51"/>
  <c r="AI56" i="51"/>
  <c r="AI55" i="51"/>
  <c r="AI54" i="51"/>
  <c r="AI53" i="51"/>
  <c r="AI52" i="51"/>
  <c r="AI51" i="51"/>
  <c r="AI50" i="51"/>
  <c r="AI49" i="51"/>
  <c r="AI48" i="51"/>
  <c r="AI47" i="51"/>
  <c r="AI46" i="51"/>
  <c r="AI45" i="51"/>
  <c r="AI44" i="51"/>
  <c r="AI43" i="51"/>
  <c r="AI42" i="51"/>
  <c r="AI41" i="51"/>
  <c r="AI40" i="51"/>
  <c r="AI39" i="51"/>
  <c r="AI38" i="51"/>
  <c r="AI37" i="51"/>
  <c r="AI36" i="51"/>
  <c r="AI35" i="51"/>
  <c r="AI34" i="51"/>
  <c r="AI33" i="51"/>
  <c r="AI32" i="51"/>
  <c r="AI31" i="51"/>
  <c r="AI30" i="51"/>
  <c r="AI29" i="51"/>
  <c r="AI28" i="51"/>
  <c r="AI27" i="51"/>
  <c r="AI26" i="51"/>
  <c r="AI25" i="51"/>
  <c r="AI24" i="51"/>
  <c r="AI23" i="51"/>
  <c r="AI22" i="51"/>
  <c r="AI21" i="51"/>
  <c r="AI20" i="51"/>
  <c r="AI19" i="51"/>
  <c r="AI18" i="51"/>
  <c r="AI17" i="51"/>
  <c r="AI16" i="51"/>
  <c r="AI15" i="51"/>
  <c r="AI14" i="51"/>
  <c r="AI13" i="51"/>
  <c r="AI12" i="51"/>
  <c r="AI11" i="51"/>
  <c r="AI10" i="51"/>
  <c r="AI9" i="51"/>
  <c r="AI8" i="51"/>
  <c r="AI7" i="51"/>
  <c r="AH107" i="50"/>
  <c r="AG107" i="50"/>
  <c r="AF107" i="50"/>
  <c r="AE107" i="50"/>
  <c r="AD107" i="50"/>
  <c r="AC107" i="50"/>
  <c r="AB107" i="50"/>
  <c r="AA107" i="50"/>
  <c r="Z107" i="50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AI106" i="50"/>
  <c r="AI105" i="50"/>
  <c r="AI104" i="50"/>
  <c r="AI103" i="50"/>
  <c r="AI102" i="50"/>
  <c r="AI101" i="50"/>
  <c r="AI100" i="50"/>
  <c r="AI99" i="50"/>
  <c r="AI98" i="50"/>
  <c r="AI97" i="50"/>
  <c r="AI96" i="50"/>
  <c r="AI95" i="50"/>
  <c r="AI94" i="50"/>
  <c r="AI93" i="50"/>
  <c r="AI92" i="50"/>
  <c r="AI91" i="50"/>
  <c r="AI90" i="50"/>
  <c r="AI89" i="50"/>
  <c r="AI88" i="50"/>
  <c r="AI87" i="50"/>
  <c r="AI86" i="50"/>
  <c r="AI85" i="50"/>
  <c r="AI84" i="50"/>
  <c r="AI83" i="50"/>
  <c r="AI82" i="50"/>
  <c r="AI81" i="50"/>
  <c r="AI80" i="50"/>
  <c r="AI79" i="50"/>
  <c r="AI78" i="50"/>
  <c r="AI77" i="50"/>
  <c r="AI76" i="50"/>
  <c r="AI75" i="50"/>
  <c r="AI74" i="50"/>
  <c r="AI73" i="50"/>
  <c r="AI72" i="50"/>
  <c r="AI71" i="50"/>
  <c r="AI70" i="50"/>
  <c r="AI69" i="50"/>
  <c r="AI68" i="50"/>
  <c r="AI67" i="50"/>
  <c r="AI66" i="50"/>
  <c r="AI65" i="50"/>
  <c r="AI64" i="50"/>
  <c r="AI63" i="50"/>
  <c r="AI62" i="50"/>
  <c r="AI61" i="50"/>
  <c r="AI60" i="50"/>
  <c r="AI59" i="50"/>
  <c r="AI58" i="50"/>
  <c r="AI57" i="50"/>
  <c r="AI56" i="50"/>
  <c r="AI55" i="50"/>
  <c r="AI54" i="50"/>
  <c r="AI53" i="50"/>
  <c r="AI52" i="50"/>
  <c r="AI51" i="50"/>
  <c r="AI50" i="50"/>
  <c r="AI49" i="50"/>
  <c r="AI48" i="50"/>
  <c r="AI47" i="50"/>
  <c r="AI46" i="50"/>
  <c r="AI45" i="50"/>
  <c r="AI44" i="50"/>
  <c r="AI43" i="50"/>
  <c r="AI42" i="50"/>
  <c r="AI41" i="50"/>
  <c r="AI40" i="50"/>
  <c r="AI39" i="50"/>
  <c r="AI38" i="50"/>
  <c r="AI37" i="50"/>
  <c r="AI36" i="50"/>
  <c r="AI35" i="50"/>
  <c r="AI34" i="50"/>
  <c r="AI33" i="50"/>
  <c r="AI32" i="50"/>
  <c r="AI31" i="50"/>
  <c r="AI30" i="50"/>
  <c r="AI29" i="50"/>
  <c r="AI28" i="50"/>
  <c r="AI27" i="50"/>
  <c r="AI26" i="50"/>
  <c r="AI25" i="50"/>
  <c r="AI24" i="50"/>
  <c r="AI23" i="50"/>
  <c r="AI22" i="50"/>
  <c r="AI21" i="50"/>
  <c r="AI20" i="50"/>
  <c r="AI19" i="50"/>
  <c r="AI18" i="50"/>
  <c r="AI17" i="50"/>
  <c r="AI16" i="50"/>
  <c r="AI15" i="50"/>
  <c r="AI14" i="50"/>
  <c r="AI13" i="50"/>
  <c r="AI12" i="50"/>
  <c r="AI11" i="50"/>
  <c r="AI10" i="50"/>
  <c r="AI9" i="50"/>
  <c r="AI8" i="50"/>
  <c r="AI7" i="50"/>
  <c r="AH107" i="49"/>
  <c r="AG107" i="49"/>
  <c r="AF107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AI106" i="49"/>
  <c r="AI105" i="49"/>
  <c r="AI104" i="49"/>
  <c r="AI103" i="49"/>
  <c r="AI102" i="49"/>
  <c r="AI101" i="49"/>
  <c r="AI100" i="49"/>
  <c r="AI99" i="49"/>
  <c r="AI98" i="49"/>
  <c r="AI97" i="49"/>
  <c r="AI96" i="49"/>
  <c r="AI95" i="49"/>
  <c r="AI94" i="49"/>
  <c r="AI93" i="49"/>
  <c r="AI92" i="49"/>
  <c r="AI91" i="49"/>
  <c r="AI90" i="49"/>
  <c r="AI89" i="49"/>
  <c r="AI88" i="49"/>
  <c r="AI87" i="49"/>
  <c r="AI86" i="49"/>
  <c r="AI85" i="49"/>
  <c r="AI84" i="49"/>
  <c r="AI83" i="49"/>
  <c r="AI82" i="49"/>
  <c r="AI81" i="49"/>
  <c r="AI80" i="49"/>
  <c r="AI79" i="49"/>
  <c r="AI78" i="49"/>
  <c r="AI77" i="49"/>
  <c r="AI76" i="49"/>
  <c r="AI75" i="49"/>
  <c r="AI74" i="49"/>
  <c r="AI73" i="49"/>
  <c r="AI72" i="49"/>
  <c r="AI71" i="49"/>
  <c r="AI70" i="49"/>
  <c r="AI69" i="49"/>
  <c r="AI68" i="49"/>
  <c r="AI67" i="49"/>
  <c r="AI66" i="49"/>
  <c r="AI65" i="49"/>
  <c r="AI64" i="49"/>
  <c r="AI63" i="49"/>
  <c r="AI62" i="49"/>
  <c r="AI61" i="49"/>
  <c r="AI60" i="49"/>
  <c r="AI59" i="49"/>
  <c r="AI58" i="49"/>
  <c r="AI57" i="49"/>
  <c r="AI56" i="49"/>
  <c r="AI55" i="49"/>
  <c r="AI54" i="49"/>
  <c r="AI53" i="49"/>
  <c r="AI52" i="49"/>
  <c r="AI51" i="49"/>
  <c r="AI50" i="49"/>
  <c r="AI49" i="49"/>
  <c r="AI48" i="49"/>
  <c r="AI47" i="49"/>
  <c r="AI46" i="49"/>
  <c r="AI45" i="49"/>
  <c r="AI44" i="49"/>
  <c r="AI43" i="49"/>
  <c r="AI42" i="49"/>
  <c r="AI41" i="49"/>
  <c r="AI40" i="49"/>
  <c r="AI39" i="49"/>
  <c r="AI38" i="49"/>
  <c r="AI37" i="49"/>
  <c r="AI36" i="49"/>
  <c r="AI35" i="49"/>
  <c r="AI34" i="49"/>
  <c r="AI33" i="49"/>
  <c r="AI32" i="49"/>
  <c r="AI31" i="49"/>
  <c r="AI30" i="49"/>
  <c r="AI29" i="49"/>
  <c r="AI28" i="49"/>
  <c r="AI27" i="49"/>
  <c r="AI26" i="49"/>
  <c r="AI25" i="49"/>
  <c r="AI24" i="49"/>
  <c r="AI23" i="49"/>
  <c r="AI22" i="49"/>
  <c r="AI21" i="49"/>
  <c r="AI20" i="49"/>
  <c r="AI19" i="49"/>
  <c r="AI18" i="49"/>
  <c r="AI17" i="49"/>
  <c r="AI16" i="49"/>
  <c r="AI15" i="49"/>
  <c r="AI14" i="49"/>
  <c r="AI13" i="49"/>
  <c r="AI12" i="49"/>
  <c r="AI11" i="49"/>
  <c r="AI10" i="49"/>
  <c r="AI9" i="49"/>
  <c r="AI8" i="49"/>
  <c r="AI7" i="49"/>
  <c r="D107" i="59" l="1"/>
  <c r="AI107" i="59" s="1"/>
  <c r="AI10" i="59"/>
  <c r="AI107" i="56"/>
  <c r="AI107" i="54"/>
  <c r="AI107" i="57"/>
  <c r="AI107" i="52"/>
  <c r="AI107" i="51"/>
  <c r="AI107" i="50"/>
  <c r="AI107" i="58"/>
  <c r="AI107" i="53"/>
  <c r="AI107" i="55"/>
  <c r="AI107" i="49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</calcChain>
</file>

<file path=xl/sharedStrings.xml><?xml version="1.0" encoding="utf-8"?>
<sst xmlns="http://schemas.openxmlformats.org/spreadsheetml/2006/main" count="102" uniqueCount="21">
  <si>
    <t>Dias</t>
  </si>
  <si>
    <t>Item</t>
  </si>
  <si>
    <t>Descrição</t>
  </si>
  <si>
    <t>Atividade</t>
  </si>
  <si>
    <t>Total</t>
  </si>
  <si>
    <t>Eletrobras-Retrofit Serviços Auxiliares-SE Recife II-Executivo-Elétrico-Diagramas Construtivos, Listas de Materiais e Fiações--</t>
  </si>
  <si>
    <t>Eletrobras-Retrofit Serviços Auxiliares-SE Luiz Gonzaga-Executivo-Elétrico-Diagramas Construtivos, Listas de Materiais e Fiações--</t>
  </si>
  <si>
    <t>Eletrobras-Retrofit Serviços Auxiliares-SE Sobradinho-Executivo-Elétrico-Diagramas Construtivos, Listas de Materiais e Fiações--</t>
  </si>
  <si>
    <t>Eletron, Funcional e Fiações</t>
  </si>
  <si>
    <t>Interest-Interest-Folgas-Administrativo------</t>
  </si>
  <si>
    <t>Folgas</t>
  </si>
  <si>
    <t>Tecnova-Leilão 004_2025-Lote 6B-Executivo-Elétrico-Diagramas de Interligação de Serviços Auxiliares--</t>
  </si>
  <si>
    <t>Serviços Auxiliares</t>
  </si>
  <si>
    <t>STN-O&amp;M_Internalização SPCS e Telecom-SE Teresina II-Executivo-Elétrica-Diagramas Funcionais Serviços Auxiliares--</t>
  </si>
  <si>
    <t>Eletrobras-Retrofit Serviços Auxiliares-SE Olindina-Executivo-Elétrico-Diagramas Construtivos, Listas de Materiais e Fiações--</t>
  </si>
  <si>
    <t>Eletrobras-Retrofit Serviços Auxiliares-SE Camaçari II-Executivo-Elétrico-Diagramas Construtivos, Listas de Materiais e Fiações--</t>
  </si>
  <si>
    <t>Eletrobras-Retrofit Serviços Auxiliares-SE São João do Piauí-Executivo-Elétrico-Diagramas Construtivos, Listas de Materiais e Fiações--</t>
  </si>
  <si>
    <t>Siemens-PG 1023-ACD-Executivo-Elétrico-Conforme Construído--</t>
  </si>
  <si>
    <t>Conforme</t>
  </si>
  <si>
    <t>Axia-SE Teresina_PB-SE Teresina-Básico-Elétrico-Unifilar de Proteção--</t>
  </si>
  <si>
    <t>SE Teresina I - Unifilar de Proteção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</si>
</sst>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sz val="10"/>
      <color rgb="FF020817"/>
      <name val="Arial"/>
      <family val="2"/>
    </font>
    <font>
      <sz val="10"/>
      <color rgb="FF02081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9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164" fontId="2" fillId="4" borderId="1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2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4CEE334A-8CD4-4113-9004-5271B498BC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C5C5717B-C410-4D48-AB07-F7BF490666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E411B7D1-4FC9-440A-AD07-1FF5BDAE33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6F14D7D-2262-44B2-9EC6-2D608C7814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D02139CD-9E01-488C-8806-92D6696688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E7A2F8CC-F679-4662-81EC-D8B2B24C35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182245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89D94E97-4AD1-4842-B368-BD3DB6EBDD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6A80887A-605A-45D6-AA85-482D982AB3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180340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EBA3FB41-D993-4734-BDB9-55B5EAE1B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E93BA765-0362-41BB-9274-62FA73A7E7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3C0F5677-56F4-4EE8-8863-A8D3E63D14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Normal="100" workbookViewId="0">
      <pane xSplit="3" topLeftCell="AD1" activePane="topRight" state="frozen"/>
      <selection pane="topRight" activeCell="B9" sqref="B9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ht="15.75" thickBot="1" x14ac:dyDescent="0.3">
      <c r="A7" s="23">
        <v>1</v>
      </c>
      <c r="B7" s="8" t="s">
        <v>5</v>
      </c>
      <c r="C7" s="13" t="s">
        <v>8</v>
      </c>
      <c r="D7" s="12"/>
      <c r="E7" s="12">
        <v>7.2</v>
      </c>
      <c r="F7" s="12"/>
      <c r="G7" s="12"/>
      <c r="H7" s="12"/>
      <c r="I7" s="12"/>
      <c r="J7" s="12"/>
      <c r="K7" s="1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>
        <v>6.82</v>
      </c>
      <c r="AE7" s="4">
        <v>11.13</v>
      </c>
      <c r="AF7" s="4">
        <v>11.27</v>
      </c>
      <c r="AG7" s="4"/>
      <c r="AH7" s="4"/>
      <c r="AI7" s="2">
        <f t="shared" ref="AI7:AI106" si="0">SUM(D7:AH7)</f>
        <v>36.42</v>
      </c>
    </row>
    <row r="8" spans="1:35" ht="15.75" thickBot="1" x14ac:dyDescent="0.3">
      <c r="A8" s="24">
        <v>2</v>
      </c>
      <c r="B8" s="8" t="s">
        <v>6</v>
      </c>
      <c r="C8" s="13" t="s">
        <v>8</v>
      </c>
      <c r="D8" s="40"/>
      <c r="E8" s="40">
        <v>3.65</v>
      </c>
      <c r="F8" s="40"/>
      <c r="G8" s="40"/>
      <c r="H8" s="40"/>
      <c r="I8" s="40"/>
      <c r="J8" s="40"/>
      <c r="K8" s="40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3.65</v>
      </c>
    </row>
    <row r="9" spans="1:35" x14ac:dyDescent="0.25">
      <c r="A9" s="24">
        <v>3</v>
      </c>
      <c r="B9" s="8" t="s">
        <v>7</v>
      </c>
      <c r="C9" s="13" t="s">
        <v>8</v>
      </c>
      <c r="D9" s="40"/>
      <c r="E9" s="40">
        <v>1.25</v>
      </c>
      <c r="F9" s="40">
        <v>4.07</v>
      </c>
      <c r="G9" s="40"/>
      <c r="H9" s="40">
        <v>9.1300000000000008</v>
      </c>
      <c r="I9" s="40">
        <v>10.02</v>
      </c>
      <c r="J9" s="40">
        <v>9.92</v>
      </c>
      <c r="K9" s="40"/>
      <c r="L9" s="6"/>
      <c r="M9" s="6"/>
      <c r="N9" s="6"/>
      <c r="O9" s="6"/>
      <c r="P9" s="6">
        <v>11.08</v>
      </c>
      <c r="Q9" s="42">
        <v>9.08</v>
      </c>
      <c r="R9" s="6">
        <v>9.75</v>
      </c>
      <c r="S9" s="6">
        <v>9.8699999999999992</v>
      </c>
      <c r="T9" s="6"/>
      <c r="U9" s="6"/>
      <c r="V9" s="6">
        <v>2.23</v>
      </c>
      <c r="W9" s="6">
        <v>4</v>
      </c>
      <c r="X9" s="6">
        <v>1</v>
      </c>
      <c r="Y9" s="6"/>
      <c r="Z9" s="6"/>
      <c r="AA9" s="42"/>
      <c r="AB9" s="6"/>
      <c r="AC9" s="6"/>
      <c r="AD9" s="42"/>
      <c r="AE9" s="42"/>
      <c r="AF9" s="6"/>
      <c r="AG9" s="6"/>
      <c r="AH9" s="6"/>
      <c r="AI9" s="2">
        <f t="shared" si="0"/>
        <v>81.400000000000006</v>
      </c>
    </row>
    <row r="10" spans="1:35" x14ac:dyDescent="0.25">
      <c r="A10" s="24">
        <v>4</v>
      </c>
      <c r="B10" s="8" t="s">
        <v>9</v>
      </c>
      <c r="C10" s="8" t="s">
        <v>10</v>
      </c>
      <c r="D10" s="40"/>
      <c r="E10" s="40"/>
      <c r="F10" s="40"/>
      <c r="G10" s="40"/>
      <c r="H10" s="40"/>
      <c r="I10" s="40"/>
      <c r="J10" s="40"/>
      <c r="K10" s="40">
        <v>8.8000000000000007</v>
      </c>
      <c r="L10" s="6">
        <v>8.8000000000000007</v>
      </c>
      <c r="M10" s="6"/>
      <c r="N10" s="6"/>
      <c r="O10" s="6">
        <v>8.8000000000000007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26.400000000000002</v>
      </c>
    </row>
    <row r="11" spans="1:35" x14ac:dyDescent="0.25">
      <c r="A11" s="24">
        <v>5</v>
      </c>
      <c r="B11" s="8" t="s">
        <v>11</v>
      </c>
      <c r="C11" s="8" t="s">
        <v>12</v>
      </c>
      <c r="D11" s="40"/>
      <c r="E11" s="40"/>
      <c r="F11" s="40"/>
      <c r="G11" s="40"/>
      <c r="H11" s="40"/>
      <c r="I11" s="40"/>
      <c r="J11" s="40"/>
      <c r="K11" s="40"/>
      <c r="L11" s="6"/>
      <c r="M11" s="6"/>
      <c r="N11" s="6"/>
      <c r="O11" s="6"/>
      <c r="P11" s="6"/>
      <c r="Q11" s="6">
        <v>1.28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1.28</v>
      </c>
    </row>
    <row r="12" spans="1:35" x14ac:dyDescent="0.25">
      <c r="A12" s="24">
        <v>6</v>
      </c>
      <c r="B12" s="8" t="s">
        <v>13</v>
      </c>
      <c r="C12" s="8" t="s">
        <v>12</v>
      </c>
      <c r="D12" s="40"/>
      <c r="E12" s="40"/>
      <c r="F12" s="40"/>
      <c r="G12" s="40"/>
      <c r="H12" s="40"/>
      <c r="I12" s="40"/>
      <c r="J12" s="40"/>
      <c r="K12" s="40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8.65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8.65</v>
      </c>
    </row>
    <row r="13" spans="1:35" x14ac:dyDescent="0.25">
      <c r="A13" s="24">
        <v>7</v>
      </c>
      <c r="B13" s="7" t="s">
        <v>14</v>
      </c>
      <c r="C13" s="8" t="s">
        <v>12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40">
        <v>5.0999999999999996</v>
      </c>
      <c r="X13" s="6"/>
      <c r="Y13" s="6"/>
      <c r="Z13" s="6">
        <v>10</v>
      </c>
      <c r="AA13" s="6"/>
      <c r="AB13" s="6"/>
      <c r="AC13" s="6">
        <v>10.96</v>
      </c>
      <c r="AD13" s="6">
        <v>4.1500000000000004</v>
      </c>
      <c r="AE13" s="6"/>
      <c r="AF13" s="6"/>
      <c r="AG13" s="6">
        <v>11.97</v>
      </c>
      <c r="AH13" s="6">
        <v>6</v>
      </c>
      <c r="AI13" s="2">
        <f t="shared" si="0"/>
        <v>48.18</v>
      </c>
    </row>
    <row r="14" spans="1:35" x14ac:dyDescent="0.25">
      <c r="A14" s="24">
        <v>8</v>
      </c>
      <c r="B14" s="7" t="s">
        <v>15</v>
      </c>
      <c r="C14" s="8" t="s">
        <v>12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>
        <v>3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3</v>
      </c>
    </row>
    <row r="15" spans="1:35" x14ac:dyDescent="0.25">
      <c r="A15" s="24">
        <v>9</v>
      </c>
      <c r="B15" s="7" t="s">
        <v>16</v>
      </c>
      <c r="C15" s="8" t="s">
        <v>12</v>
      </c>
      <c r="D15" s="6"/>
      <c r="E15" s="4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>
        <v>5.66</v>
      </c>
      <c r="Y15" s="6">
        <v>11.1</v>
      </c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16.759999999999998</v>
      </c>
    </row>
    <row r="16" spans="1:35" x14ac:dyDescent="0.25">
      <c r="A16" s="24">
        <v>10</v>
      </c>
      <c r="B16" s="7"/>
      <c r="C16" s="8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42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8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8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8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8"/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40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8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8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40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8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43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41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4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4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4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12.1</v>
      </c>
      <c r="F107" s="11">
        <f t="shared" si="1"/>
        <v>4.07</v>
      </c>
      <c r="G107" s="3">
        <f t="shared" si="1"/>
        <v>0</v>
      </c>
      <c r="H107" s="3">
        <f t="shared" si="1"/>
        <v>9.1300000000000008</v>
      </c>
      <c r="I107" s="3">
        <f t="shared" si="1"/>
        <v>10.02</v>
      </c>
      <c r="J107" s="3">
        <f t="shared" si="1"/>
        <v>9.92</v>
      </c>
      <c r="K107" s="3">
        <f t="shared" si="1"/>
        <v>8.8000000000000007</v>
      </c>
      <c r="L107" s="3">
        <f t="shared" si="1"/>
        <v>8.8000000000000007</v>
      </c>
      <c r="M107" s="3">
        <f t="shared" si="1"/>
        <v>0</v>
      </c>
      <c r="N107" s="3">
        <f t="shared" si="1"/>
        <v>0</v>
      </c>
      <c r="O107" s="3">
        <f t="shared" si="1"/>
        <v>8.8000000000000007</v>
      </c>
      <c r="P107" s="3">
        <f t="shared" si="1"/>
        <v>11.08</v>
      </c>
      <c r="Q107" s="3">
        <f t="shared" si="1"/>
        <v>10.36</v>
      </c>
      <c r="R107" s="3">
        <f t="shared" si="1"/>
        <v>9.75</v>
      </c>
      <c r="S107" s="3">
        <f t="shared" si="1"/>
        <v>9.8699999999999992</v>
      </c>
      <c r="T107" s="3">
        <f t="shared" si="1"/>
        <v>0</v>
      </c>
      <c r="U107" s="3">
        <f t="shared" si="1"/>
        <v>0</v>
      </c>
      <c r="V107" s="3">
        <f t="shared" si="1"/>
        <v>10.88</v>
      </c>
      <c r="W107" s="3">
        <f t="shared" si="1"/>
        <v>9.1</v>
      </c>
      <c r="X107" s="3">
        <f t="shared" si="1"/>
        <v>9.66</v>
      </c>
      <c r="Y107" s="3">
        <f t="shared" si="1"/>
        <v>11.1</v>
      </c>
      <c r="Z107" s="3">
        <f t="shared" si="1"/>
        <v>10</v>
      </c>
      <c r="AA107" s="3">
        <f t="shared" si="1"/>
        <v>0</v>
      </c>
      <c r="AB107" s="3">
        <f t="shared" si="1"/>
        <v>0</v>
      </c>
      <c r="AC107" s="3">
        <f t="shared" si="1"/>
        <v>10.96</v>
      </c>
      <c r="AD107" s="3">
        <f t="shared" si="1"/>
        <v>10.97</v>
      </c>
      <c r="AE107" s="3">
        <f t="shared" si="1"/>
        <v>11.13</v>
      </c>
      <c r="AF107" s="3">
        <f t="shared" si="1"/>
        <v>11.27</v>
      </c>
      <c r="AG107" s="3">
        <f t="shared" si="1"/>
        <v>11.97</v>
      </c>
      <c r="AH107" s="3">
        <f t="shared" si="1"/>
        <v>6</v>
      </c>
      <c r="AI107" s="1">
        <f>SUM(D107:AH107)</f>
        <v>225.74</v>
      </c>
    </row>
  </sheetData>
  <sheetProtection algorithmName="SHA-512" hashValue="ezbp5RsErWzUDOYiELoyRCtgyxmk7cF2gJ85Gdf/tzz6XcNO0XwuDB0Lkvm4xYSPA6KD5nnCG6ROpUyZ0Xbbqw==" saltValue="DZ2kd2Fb9d1zTUwN7TEwug==" spinCount="100000" sheet="1" objects="1" scenarios="1" formatCells="0" selectLockedCells="1"/>
  <conditionalFormatting sqref="D7:AH106">
    <cfRule type="cellIs" dxfId="23" priority="1" operator="greaterThan">
      <formula>",,"</formula>
    </cfRule>
    <cfRule type="cellIs" dxfId="2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zoomScale="78" zoomScaleNormal="78" workbookViewId="0">
      <pane xSplit="3" topLeftCell="X1" activePane="topRight" state="frozen"/>
      <selection pane="topRight" activeCell="AB20" sqref="AB20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7" t="s">
        <v>14</v>
      </c>
      <c r="C7" s="8" t="s">
        <v>12</v>
      </c>
      <c r="D7" s="6"/>
      <c r="E7" s="6">
        <v>9.14</v>
      </c>
      <c r="F7" s="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9.14</v>
      </c>
    </row>
    <row r="8" spans="1:35" x14ac:dyDescent="0.25">
      <c r="A8" s="24">
        <v>2</v>
      </c>
      <c r="B8" s="8" t="s">
        <v>17</v>
      </c>
      <c r="C8" s="8" t="s">
        <v>18</v>
      </c>
      <c r="D8" s="6"/>
      <c r="E8" s="6"/>
      <c r="F8" s="40"/>
      <c r="G8" s="6">
        <v>9.43</v>
      </c>
      <c r="H8" s="6">
        <v>1.73</v>
      </c>
      <c r="I8" s="6"/>
      <c r="J8" s="6"/>
      <c r="K8" s="6"/>
      <c r="L8" s="6"/>
      <c r="M8" s="6"/>
      <c r="N8" s="6"/>
      <c r="O8" s="6"/>
      <c r="P8" s="6"/>
      <c r="Q8" s="4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11.16</v>
      </c>
    </row>
    <row r="9" spans="1:35" x14ac:dyDescent="0.25">
      <c r="A9" s="24">
        <v>3</v>
      </c>
      <c r="B9" s="8" t="s">
        <v>7</v>
      </c>
      <c r="C9" s="8" t="s">
        <v>12</v>
      </c>
      <c r="D9" s="6"/>
      <c r="E9" s="6"/>
      <c r="F9" s="40">
        <v>11.08</v>
      </c>
      <c r="G9" s="6"/>
      <c r="H9" s="6">
        <v>1.1499999999999999</v>
      </c>
      <c r="I9" s="6">
        <v>9.2899999999999991</v>
      </c>
      <c r="J9" s="6">
        <v>7.67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29.189999999999998</v>
      </c>
    </row>
    <row r="10" spans="1:35" x14ac:dyDescent="0.25">
      <c r="A10" s="24">
        <v>4</v>
      </c>
      <c r="B10" s="7" t="s">
        <v>15</v>
      </c>
      <c r="C10" s="8" t="s">
        <v>12</v>
      </c>
      <c r="D10" s="6"/>
      <c r="E10" s="6"/>
      <c r="F10" s="6"/>
      <c r="G10" s="6"/>
      <c r="H10" s="6">
        <v>8.3000000000000007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>
        <v>10.1</v>
      </c>
      <c r="AA10" s="6">
        <v>9.34</v>
      </c>
      <c r="AB10" s="6">
        <v>9.1999999999999993</v>
      </c>
      <c r="AC10" s="6">
        <v>9.6</v>
      </c>
      <c r="AD10" s="6">
        <v>9.3000000000000007</v>
      </c>
      <c r="AE10" s="6"/>
      <c r="AF10" s="6"/>
      <c r="AG10" s="6"/>
      <c r="AH10" s="6"/>
      <c r="AI10" s="2">
        <f t="shared" si="0"/>
        <v>55.84</v>
      </c>
    </row>
    <row r="11" spans="1:35" x14ac:dyDescent="0.25">
      <c r="A11" s="24">
        <v>5</v>
      </c>
      <c r="B11" s="7" t="s">
        <v>16</v>
      </c>
      <c r="C11" s="8" t="s">
        <v>12</v>
      </c>
      <c r="D11" s="6"/>
      <c r="E11" s="6"/>
      <c r="F11" s="6"/>
      <c r="G11" s="6"/>
      <c r="H11" s="6"/>
      <c r="I11" s="6"/>
      <c r="J11" s="6"/>
      <c r="K11" s="6"/>
      <c r="L11" s="6"/>
      <c r="M11" s="6">
        <v>11.08</v>
      </c>
      <c r="N11" s="40">
        <v>9</v>
      </c>
      <c r="O11" s="6">
        <v>9.75</v>
      </c>
      <c r="P11" s="6">
        <v>8.91</v>
      </c>
      <c r="Q11" s="6">
        <v>5.88</v>
      </c>
      <c r="R11" s="6">
        <v>5.56</v>
      </c>
      <c r="S11" s="6">
        <v>8.65</v>
      </c>
      <c r="T11" s="6">
        <v>9.09</v>
      </c>
      <c r="U11" s="6"/>
      <c r="V11" s="6">
        <v>9.36</v>
      </c>
      <c r="W11" s="6">
        <v>9.5399999999999991</v>
      </c>
      <c r="X11" s="6">
        <v>7.88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94.699999999999989</v>
      </c>
    </row>
    <row r="12" spans="1:35" x14ac:dyDescent="0.25">
      <c r="A12" s="24">
        <v>6</v>
      </c>
      <c r="B12" s="7" t="s">
        <v>19</v>
      </c>
      <c r="C12" s="48" t="s">
        <v>20</v>
      </c>
      <c r="D12" s="6"/>
      <c r="E12" s="6"/>
      <c r="F12" s="6"/>
      <c r="G12" s="6"/>
      <c r="H12" s="6"/>
      <c r="I12" s="6"/>
      <c r="J12" s="6"/>
      <c r="K12" s="6"/>
      <c r="L12" s="47">
        <v>9.5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9.5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2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4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9.14</v>
      </c>
      <c r="F107" s="11">
        <f t="shared" si="1"/>
        <v>11.08</v>
      </c>
      <c r="G107" s="3">
        <f t="shared" si="1"/>
        <v>9.43</v>
      </c>
      <c r="H107" s="3">
        <f t="shared" si="1"/>
        <v>11.18</v>
      </c>
      <c r="I107" s="3">
        <f t="shared" si="1"/>
        <v>9.2899999999999991</v>
      </c>
      <c r="J107" s="3">
        <f t="shared" si="1"/>
        <v>7.67</v>
      </c>
      <c r="K107" s="3">
        <f t="shared" si="1"/>
        <v>0</v>
      </c>
      <c r="L107" s="3">
        <f t="shared" si="1"/>
        <v>9.5</v>
      </c>
      <c r="M107" s="3">
        <f t="shared" si="1"/>
        <v>11.08</v>
      </c>
      <c r="N107" s="3">
        <f t="shared" si="1"/>
        <v>9</v>
      </c>
      <c r="O107" s="3">
        <f t="shared" si="1"/>
        <v>9.75</v>
      </c>
      <c r="P107" s="3">
        <f t="shared" si="1"/>
        <v>8.91</v>
      </c>
      <c r="Q107" s="3">
        <f t="shared" si="1"/>
        <v>5.88</v>
      </c>
      <c r="R107" s="3">
        <f t="shared" si="1"/>
        <v>5.56</v>
      </c>
      <c r="S107" s="3">
        <f t="shared" si="1"/>
        <v>8.65</v>
      </c>
      <c r="T107" s="3">
        <f t="shared" si="1"/>
        <v>9.09</v>
      </c>
      <c r="U107" s="3">
        <f t="shared" si="1"/>
        <v>0</v>
      </c>
      <c r="V107" s="3">
        <f t="shared" si="1"/>
        <v>9.36</v>
      </c>
      <c r="W107" s="3">
        <f t="shared" si="1"/>
        <v>9.5399999999999991</v>
      </c>
      <c r="X107" s="3">
        <f t="shared" si="1"/>
        <v>7.88</v>
      </c>
      <c r="Y107" s="3">
        <f t="shared" si="1"/>
        <v>0</v>
      </c>
      <c r="Z107" s="3">
        <f t="shared" si="1"/>
        <v>10.1</v>
      </c>
      <c r="AA107" s="3">
        <f t="shared" si="1"/>
        <v>9.34</v>
      </c>
      <c r="AB107" s="3">
        <f t="shared" si="1"/>
        <v>9.1999999999999993</v>
      </c>
      <c r="AC107" s="3">
        <f t="shared" si="1"/>
        <v>9.6</v>
      </c>
      <c r="AD107" s="3">
        <f t="shared" si="1"/>
        <v>9.3000000000000007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209.52999999999997</v>
      </c>
    </row>
  </sheetData>
  <sheetProtection algorithmName="SHA-512" hashValue="ersFyKaL1Yrmj3HkRux4wbOkVTCmRKUkgbWfGCO/0HE+nNn3GDRvOJdAZwITF2q/ocdKMm6NaI4IKsh1DAHeXA==" saltValue="DYJyE8ub9BzSsZPBs+fbpw==" spinCount="100000" sheet="1" objects="1" scenarios="1" formatCells="0" selectLockedCells="1"/>
  <conditionalFormatting sqref="D7:AH106">
    <cfRule type="cellIs" dxfId="21" priority="1" operator="greaterThan">
      <formula>",,"</formula>
    </cfRule>
    <cfRule type="cellIs" dxfId="2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8" zoomScale="82" zoomScaleNormal="82" workbookViewId="0">
      <pane xSplit="3" topLeftCell="AA1" activePane="topRight" state="frozen"/>
      <selection pane="topRight" activeCell="B7" sqref="B7:AH106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2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25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40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25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40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40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7"/>
      <c r="C11" s="44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40"/>
      <c r="V11" s="6"/>
      <c r="W11" s="40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42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0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2mZfh0fwmCN9ecIPdIhe60jaxl9c5y70AajlXf/DMZ6zyZkY7IXNNI+sDfDoDAJ6r1NK52QMqMgyc8PwLzxDrQ==" saltValue="CVhD2OII+FM3ahGIRAMfcg==" spinCount="100000" sheet="1" objects="1" scenarios="1" formatCells="0" selectLockedCells="1"/>
  <conditionalFormatting sqref="D7:AH106">
    <cfRule type="cellIs" dxfId="19" priority="1" operator="greaterThan">
      <formula>",,"</formula>
    </cfRule>
    <cfRule type="cellIs" dxfId="1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85" zoomScaleNormal="85" workbookViewId="0">
      <pane xSplit="3" topLeftCell="AB1" activePane="topRight" state="frozen"/>
      <selection pane="topRight" activeCell="B7" sqref="B7:AH94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25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25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M7cpzwIzLyqE4tOtZnrTeuL8hDYkDW7xTMkitshGc2MLRI7c0dObS4vzl60cTDWx+IQCx9PzhwIjOw08mCZvkA==" saltValue="MoaugWZLO0SASpleZgjnMQ==" spinCount="100000" sheet="1" objects="1" scenarios="1" formatCells="0" selectLockedCells="1"/>
  <conditionalFormatting sqref="D7:AH106">
    <cfRule type="cellIs" dxfId="17" priority="1" operator="greaterThan">
      <formula>",,"</formula>
    </cfRule>
    <cfRule type="cellIs" dxfId="1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93" zoomScaleNormal="100" workbookViewId="0">
      <pane xSplit="3" topLeftCell="AF1" activePane="topRight" state="frozen"/>
      <selection pane="topRight" activeCell="AH17" sqref="D7:AH17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25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25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8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8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8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28EL6EePtBeYO8OPxz0EkhIeP+kySoK1iolFvKM6UVO4+C2OOVxWg53C9QKTrOWlGtExJCEqvP0yZEjvBisXFQ==" saltValue="u9H00W4pcuGFlImQ+9EEOw==" spinCount="100000" sheet="1" objects="1" scenarios="1" formatCells="0" selectLockedCells="1"/>
  <conditionalFormatting sqref="D7:AH106">
    <cfRule type="cellIs" dxfId="15" priority="1" operator="greaterThan">
      <formula>",,"</formula>
    </cfRule>
    <cfRule type="cellIs" dxfId="1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91" zoomScaleNormal="100" workbookViewId="0">
      <pane xSplit="3" topLeftCell="AF1" activePane="topRight" state="frozen"/>
      <selection pane="topRight" activeCell="B7" sqref="B7:AH81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12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25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25">
      <c r="A9" s="24">
        <v>3</v>
      </c>
      <c r="B9" s="8"/>
      <c r="C9" s="8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B12" s="8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8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8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8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8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8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8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8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8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8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8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8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8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8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8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8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nwplfMY5mbUi7pLqtzh9MPLMw0LTKCwmbyPe4I9pBMWD22WXAXEyQbSmUxWtMYH6MHMLynnhJEQ3PtG+A9Etmg==" saltValue="ZBRsORWw7QLPVrB7NAZqsw==" spinCount="100000" sheet="1" objects="1" scenarios="1" formatCells="0" selectLockedCells="1"/>
  <conditionalFormatting sqref="D7:AH106">
    <cfRule type="cellIs" dxfId="13" priority="1" operator="greaterThan">
      <formula>",,"</formula>
    </cfRule>
    <cfRule type="cellIs" dxfId="1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6" zoomScale="85" zoomScaleNormal="85" workbookViewId="0">
      <pane xSplit="3" topLeftCell="AB1" activePane="topRight" state="frozen"/>
      <selection pane="topRight" activeCell="B7" sqref="B7:AH106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25">
      <c r="A8" s="24">
        <v>2</v>
      </c>
      <c r="B8" s="8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25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40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8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8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42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44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RfYzgbQIdYoOEtvT0o9lSZJ5pqFJCF6hJniSjJ52wipxxgbfY3pKs5A4XQqyN3JP+eKUg1Ku7XTqoETF2hAUA==" saltValue="TIl1gu+6FXF3QjxCMt+s8w==" spinCount="100000" sheet="1" objects="1" scenarios="1" formatCells="0" selectLockedCells="1"/>
  <conditionalFormatting sqref="D7:AH106">
    <cfRule type="cellIs" dxfId="11" priority="1" operator="greaterThan">
      <formula>",,"</formula>
    </cfRule>
    <cfRule type="cellIs" dxfId="1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82" zoomScaleNormal="100" workbookViewId="0">
      <pane xSplit="3" topLeftCell="AE1" activePane="topRight" state="frozen"/>
      <selection pane="topRight" activeCell="B7" sqref="B7:AH106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25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25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4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8FwUh0IlowMZUV35TlGo1eCsxPKp82KPZumBpO7y3DKcHMRFMT9oqnHSC1PgJi56hODSjY6Ltf9waIB8aK8TFA==" saltValue="8iv41kXFHZVJBW0JLdvphQ==" spinCount="100000" sheet="1" objects="1" scenarios="1" formatCells="0" selectLockedCells="1"/>
  <conditionalFormatting sqref="D7:AH106">
    <cfRule type="cellIs" dxfId="9" priority="1" operator="greaterThan">
      <formula>",,"</formula>
    </cfRule>
    <cfRule type="cellIs" dxfId="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84" zoomScaleNormal="100" workbookViewId="0">
      <pane xSplit="3" topLeftCell="AF1" activePane="topRight" state="frozen"/>
      <selection pane="topRight" activeCell="B18" sqref="B7:AH18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7"/>
      <c r="C7" s="8"/>
      <c r="D7" s="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>SUM(D7:AH7)</f>
        <v>0</v>
      </c>
    </row>
    <row r="8" spans="1:35" x14ac:dyDescent="0.25">
      <c r="A8" s="24">
        <v>2</v>
      </c>
      <c r="B8" s="8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ref="AI8:AI106" si="0">SUM(D8:AH8)</f>
        <v>0</v>
      </c>
    </row>
    <row r="9" spans="1:35" x14ac:dyDescent="0.25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42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>SUM(D7:D106)</f>
        <v>0</v>
      </c>
      <c r="E107" s="11">
        <f t="shared" ref="E107:AH107" si="1">SUM(E7:E106)</f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IeCHGZOSRJxgLP7WTOOUuuH1iybFm7Oc3X5lXcI3U1ro+mfFp4NZwN/n1Vlc6vYyoHKPlE70vFDm9MeR2S5QQ==" saltValue="yXZEQV1YFzOfnw9pq4cQ+g==" spinCount="100000" sheet="1" objects="1" scenarios="1" formatCells="0" selectLockedCells="1"/>
  <conditionalFormatting sqref="D7:AH11 E12:Z12 AB12:AH12 D13:AH106">
    <cfRule type="cellIs" dxfId="7" priority="1" operator="greaterThan">
      <formula>",,"</formula>
    </cfRule>
    <cfRule type="cellIs" dxfId="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85" zoomScaleNormal="85" workbookViewId="0">
      <pane xSplit="3" topLeftCell="D1" activePane="topRight" state="frozen"/>
      <selection pane="topRight" activeCell="AH25" sqref="B7:AH25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25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25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7"/>
      <c r="C11" s="8"/>
      <c r="D11" s="6"/>
      <c r="E11" s="6"/>
      <c r="F11" s="6"/>
      <c r="G11" s="6"/>
      <c r="H11" s="6"/>
      <c r="I11" s="6"/>
      <c r="J11" s="40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8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40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V3468Aa/XCiN+g8JH7yiMl3jC6vTV2uDGrzuDlgrNUl2RqZGb7f3hPLdUpyxE2U/GuFZN9Mg3MBAyUPgEvplUw==" saltValue="uM+RDLw1OXNiYFp+xZxBXg==" spinCount="100000" sheet="1" objects="1" scenarios="1" formatCells="0" selectLockedCells="1"/>
  <conditionalFormatting sqref="D7:AH18 D19:Y19 AA19:AH19 D20:AH106">
    <cfRule type="cellIs" dxfId="5" priority="1" operator="greaterThan">
      <formula>",,"</formula>
    </cfRule>
    <cfRule type="cellIs" dxfId="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85" zoomScaleNormal="85" workbookViewId="0">
      <pane xSplit="3" topLeftCell="AB1" activePane="topRight" state="frozen"/>
      <selection pane="topRight" activeCell="B7" sqref="B7:AH15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7"/>
      <c r="C7" s="8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25">
      <c r="A8" s="24">
        <v>2</v>
      </c>
      <c r="B8" s="7"/>
      <c r="C8" s="8"/>
      <c r="D8" s="6"/>
      <c r="E8" s="6"/>
      <c r="F8" s="6"/>
      <c r="G8" s="6"/>
      <c r="H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25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45"/>
      <c r="C11" s="4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B12" s="45"/>
      <c r="C12" s="4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45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40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4wJmCaWUC16lYMJiDCuZy+OI0iSJjoc7NG1cfZwgT5wCRkM1vQ9RBKCVUUhKr3JhdpnPbRPfgHK6DCD+D/bjVA==" saltValue="miK/vYr6u7Pwsomo76Tx/Q==" spinCount="100000" sheet="1" objects="1" scenarios="1" formatCells="0" selectLockedCells="1"/>
  <conditionalFormatting sqref="D7:AH7 D8:H8 J8:AH8 D9:AH106">
    <cfRule type="cellIs" dxfId="3" priority="1" operator="greaterThan">
      <formula>",,"</formula>
    </cfRule>
    <cfRule type="cellIs" dxfId="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85" zoomScaleNormal="85" workbookViewId="0">
      <pane xSplit="3" topLeftCell="AB1" activePane="topRight" state="frozen"/>
      <selection pane="topRight" activeCell="B7" sqref="B7:AH11"/>
    </sheetView>
  </sheetViews>
  <sheetFormatPr defaultColWidth="9.28515625" defaultRowHeight="15" x14ac:dyDescent="0.25"/>
  <cols>
    <col min="1" max="1" width="6.28515625" bestFit="1" customWidth="1"/>
    <col min="2" max="2" width="74.42578125" style="14" customWidth="1"/>
    <col min="3" max="3" width="74.5703125" style="14" customWidth="1"/>
    <col min="4" max="34" width="9.28515625" style="14" customWidth="1"/>
    <col min="35" max="35" width="9.28515625" customWidth="1"/>
    <col min="36" max="36" width="11" style="14" bestFit="1" customWidth="1"/>
    <col min="37" max="16384" width="9.28515625" style="14"/>
  </cols>
  <sheetData>
    <row r="1" spans="1:35" customFormat="1" ht="18" customHeight="1" x14ac:dyDescent="0.25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25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5" thickBot="1" x14ac:dyDescent="0.3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5" thickBot="1" x14ac:dyDescent="0.3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25">
      <c r="A7" s="23">
        <v>1</v>
      </c>
      <c r="B7" s="7"/>
      <c r="C7" s="45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25">
      <c r="A8" s="24">
        <v>2</v>
      </c>
      <c r="B8" s="7"/>
      <c r="C8" s="46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25">
      <c r="A9" s="24">
        <v>3</v>
      </c>
      <c r="B9" s="7"/>
      <c r="C9" s="46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25">
      <c r="A10" s="24">
        <v>4</v>
      </c>
      <c r="B10" s="7"/>
      <c r="C10" s="4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25">
      <c r="A11" s="24">
        <v>5</v>
      </c>
      <c r="B11" s="8"/>
      <c r="C11" s="4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25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25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25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25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25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25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25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25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25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25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25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25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25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25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25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25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25">
      <c r="A28" s="24">
        <v>22</v>
      </c>
      <c r="B28" s="7"/>
      <c r="C28" s="8"/>
      <c r="D28" s="6"/>
      <c r="E28" s="6"/>
      <c r="F28" s="6"/>
      <c r="G28" s="6"/>
      <c r="H28" s="4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25">
      <c r="A29" s="24">
        <v>23</v>
      </c>
      <c r="B29" s="7"/>
      <c r="C29" s="8"/>
      <c r="D29" s="6"/>
      <c r="E29" s="6"/>
      <c r="F29" s="6"/>
      <c r="G29" s="6"/>
      <c r="H29" s="4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25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25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25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25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25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25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25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25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25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25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25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25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25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25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25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25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25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25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25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25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25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25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25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25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25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25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25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25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25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25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25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25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25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25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25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25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25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25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25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25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25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25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25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25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25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25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25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25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25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25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25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25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25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25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25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25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25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25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25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25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25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25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25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25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25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25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25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25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25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25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25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25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25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25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25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25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.75" thickBot="1" x14ac:dyDescent="0.3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.75" thickBot="1" x14ac:dyDescent="0.3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i2FnqROEwd9RFjwtenF09woQCrkRxaRPLs8cClubTVzBRZTh/R9CY8DavPL1Z3XEdjkHcTO/S5t2ZOHkn2pGxw==" saltValue="oN8+rpBvV7EB+ZNW0+nI8A==" spinCount="100000" sheet="1" objects="1" scenarios="1" formatCells="0" selectLockedCells="1"/>
  <conditionalFormatting sqref="D7:AH106">
    <cfRule type="cellIs" dxfId="1" priority="1" operator="greaterThan">
      <formula>",,"</formula>
    </cfRule>
    <cfRule type="cellIs" dxfId="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2026-03-02T10:58:19Z</dcterms:modified>
</cp:coreProperties>
</file>