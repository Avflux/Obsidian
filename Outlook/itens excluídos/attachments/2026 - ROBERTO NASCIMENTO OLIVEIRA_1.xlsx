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6\"/>
    </mc:Choice>
  </mc:AlternateContent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0" yWindow="0" windowWidth="20490" windowHeight="7635" tabRatio="868" activeTab="2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D107" i="59" l="1"/>
  <c r="AI107" i="59" s="1"/>
  <c r="AI10" i="59"/>
  <c r="AI107" i="56"/>
  <c r="AI107" i="54"/>
  <c r="AI107" i="57"/>
  <c r="AI107" i="52"/>
  <c r="AI107" i="51"/>
  <c r="AI107" i="50"/>
  <c r="AI107" i="58"/>
  <c r="AI107" i="53"/>
  <c r="AI107" i="55"/>
  <c r="AI107" i="4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<sst xmlns="http://schemas.openxmlformats.org/spreadsheetml/2006/main" count="112" uniqueCount="22">
  <si>
    <t>Dias</t>
  </si>
  <si>
    <t>Item</t>
  </si>
  <si>
    <t>Descrição</t>
  </si>
  <si>
    <t>Atividade</t>
  </si>
  <si>
    <t>Total</t>
  </si>
  <si>
    <t>Eletrobras-Retrofit Serviços Auxiliares-SE Recife II-Executivo-Elétrico-Diagramas Construtivos, Listas de Materiais e Fiações--</t>
  </si>
  <si>
    <t>Eletrobras-Retrofit Serviços Auxiliares-SE Luiz Gonzaga-Executivo-Elétrico-Diagramas Construtivos, Listas de Materiais e Fiações--</t>
  </si>
  <si>
    <t>Eletrobras-Retrofit Serviços Auxiliares-SE Sobradinho-Executivo-Elétrico-Diagramas Construtivos, Listas de Materiais e Fiações--</t>
  </si>
  <si>
    <t>Eletron, Funcional e Fiações</t>
  </si>
  <si>
    <t>Interest-Interest-Folgas-Administrativo------</t>
  </si>
  <si>
    <t>Folgas</t>
  </si>
  <si>
    <t>Tecnova-Leilão 004_2025-Lote 6B-Executivo-Elétrico-Diagramas de Interligação de Serviços Auxiliares--</t>
  </si>
  <si>
    <t>Serviços Auxiliares</t>
  </si>
  <si>
    <t>STN-O&amp;M_Internalização SPCS e Telecom-SE Teresina II-Executivo-Elétrica-Diagramas Funcionais Serviços Auxiliares--</t>
  </si>
  <si>
    <t>Eletrobras-Retrofit Serviços Auxiliares-SE Olindina-Executivo-Elétrico-Diagramas Construtivos, Listas de Materiais e Fiações--</t>
  </si>
  <si>
    <t>Eletrobras-Retrofit Serviços Auxiliares-SE Camaçari II-Executivo-Elétrico-Diagramas Construtivos, Listas de Materiais e Fiações--</t>
  </si>
  <si>
    <t>Eletrobras-Retrofit Serviços Auxiliares-SE São João do Piauí-Executivo-Elétrico-Diagramas Construtivos, Listas de Materiais e Fiações--</t>
  </si>
  <si>
    <t>Siemens-PG 1023-ACD-Executivo-Elétrico-Conforme Construído--</t>
  </si>
  <si>
    <t>Conforme</t>
  </si>
  <si>
    <t>Axia-SE Teresina_PB-SE Teresina-Básico-Elétrico-Unifilar de Proteção--</t>
  </si>
  <si>
    <t>SE Teresina I - Unifilar de Proteção</t>
  </si>
  <si>
    <t>Eletrobras-Retrofit Serviços Auxiliares-SE Milagres-Executivo-Elétrico-Diagramas Construtivos, Listas de Materiais e Fiações--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</si>
</sst>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10"/>
      <color rgb="FF020817"/>
      <name val="Arial"/>
      <family val="2"/>
    </font>
    <font>
      <sz val="10"/>
      <color rgb="FF0208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Normal="100" workbookViewId="0">
      <pane xSplit="3" topLeftCell="AD1" activePane="topRight" state="frozen"/>
      <selection pane="topRight" activeCell="B8" sqref="B8:C8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ht="15.75" thickBot="1" x14ac:dyDescent="0.3">
      <c r="A7" s="23">
        <v>1</v>
      </c>
      <c r="B7" s="8" t="s">
        <v>5</v>
      </c>
      <c r="C7" s="13" t="s">
        <v>8</v>
      </c>
      <c r="D7" s="12"/>
      <c r="E7" s="12">
        <v>7.2</v>
      </c>
      <c r="F7" s="12"/>
      <c r="G7" s="12"/>
      <c r="H7" s="12"/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>
        <v>6.82</v>
      </c>
      <c r="AE7" s="4">
        <v>11.13</v>
      </c>
      <c r="AF7" s="4">
        <v>11.27</v>
      </c>
      <c r="AG7" s="4"/>
      <c r="AH7" s="4"/>
      <c r="AI7" s="2">
        <f t="shared" ref="AI7:AI106" si="0">SUM(D7:AH7)</f>
        <v>36.42</v>
      </c>
    </row>
    <row r="8" spans="1:35" ht="15.75" thickBot="1" x14ac:dyDescent="0.3">
      <c r="A8" s="24">
        <v>2</v>
      </c>
      <c r="B8" s="8" t="s">
        <v>6</v>
      </c>
      <c r="C8" s="13" t="s">
        <v>8</v>
      </c>
      <c r="D8" s="40"/>
      <c r="E8" s="40">
        <v>3.65</v>
      </c>
      <c r="F8" s="40"/>
      <c r="G8" s="40"/>
      <c r="H8" s="40"/>
      <c r="I8" s="40"/>
      <c r="J8" s="40"/>
      <c r="K8" s="4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3.65</v>
      </c>
    </row>
    <row r="9" spans="1:35" x14ac:dyDescent="0.25">
      <c r="A9" s="24">
        <v>3</v>
      </c>
      <c r="B9" s="8" t="s">
        <v>7</v>
      </c>
      <c r="C9" s="13" t="s">
        <v>8</v>
      </c>
      <c r="D9" s="40"/>
      <c r="E9" s="40">
        <v>1.25</v>
      </c>
      <c r="F9" s="40">
        <v>4.07</v>
      </c>
      <c r="G9" s="40"/>
      <c r="H9" s="40">
        <v>9.1300000000000008</v>
      </c>
      <c r="I9" s="40">
        <v>10.02</v>
      </c>
      <c r="J9" s="40">
        <v>9.92</v>
      </c>
      <c r="K9" s="40"/>
      <c r="L9" s="6"/>
      <c r="M9" s="6"/>
      <c r="N9" s="6"/>
      <c r="O9" s="6"/>
      <c r="P9" s="6">
        <v>11.08</v>
      </c>
      <c r="Q9" s="42">
        <v>9.08</v>
      </c>
      <c r="R9" s="6">
        <v>9.75</v>
      </c>
      <c r="S9" s="6">
        <v>9.8699999999999992</v>
      </c>
      <c r="T9" s="6"/>
      <c r="U9" s="6"/>
      <c r="V9" s="6">
        <v>2.23</v>
      </c>
      <c r="W9" s="6">
        <v>4</v>
      </c>
      <c r="X9" s="6">
        <v>1</v>
      </c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81.400000000000006</v>
      </c>
    </row>
    <row r="10" spans="1:35" x14ac:dyDescent="0.25">
      <c r="A10" s="24">
        <v>4</v>
      </c>
      <c r="B10" s="8" t="s">
        <v>9</v>
      </c>
      <c r="C10" s="8" t="s">
        <v>10</v>
      </c>
      <c r="D10" s="40"/>
      <c r="E10" s="40"/>
      <c r="F10" s="40"/>
      <c r="G10" s="40"/>
      <c r="H10" s="40"/>
      <c r="I10" s="40"/>
      <c r="J10" s="40"/>
      <c r="K10" s="40">
        <v>8.8000000000000007</v>
      </c>
      <c r="L10" s="6">
        <v>8.8000000000000007</v>
      </c>
      <c r="M10" s="6"/>
      <c r="N10" s="6"/>
      <c r="O10" s="6">
        <v>8.8000000000000007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26.400000000000002</v>
      </c>
    </row>
    <row r="11" spans="1:35" x14ac:dyDescent="0.25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/>
      <c r="K11" s="40"/>
      <c r="L11" s="6"/>
      <c r="M11" s="6"/>
      <c r="N11" s="6"/>
      <c r="O11" s="6"/>
      <c r="P11" s="6"/>
      <c r="Q11" s="6">
        <v>1.28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1.28</v>
      </c>
    </row>
    <row r="12" spans="1:35" x14ac:dyDescent="0.25">
      <c r="A12" s="24">
        <v>6</v>
      </c>
      <c r="B12" s="8" t="s">
        <v>13</v>
      </c>
      <c r="C12" s="8" t="s">
        <v>12</v>
      </c>
      <c r="D12" s="40"/>
      <c r="E12" s="40"/>
      <c r="F12" s="40"/>
      <c r="G12" s="40"/>
      <c r="H12" s="40"/>
      <c r="I12" s="40"/>
      <c r="J12" s="40"/>
      <c r="K12" s="40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8.65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8.65</v>
      </c>
    </row>
    <row r="13" spans="1:35" x14ac:dyDescent="0.25">
      <c r="A13" s="24">
        <v>7</v>
      </c>
      <c r="B13" s="7" t="s">
        <v>14</v>
      </c>
      <c r="C13" s="8" t="s">
        <v>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40">
        <v>5.0999999999999996</v>
      </c>
      <c r="X13" s="6"/>
      <c r="Y13" s="6"/>
      <c r="Z13" s="6">
        <v>10</v>
      </c>
      <c r="AA13" s="6"/>
      <c r="AB13" s="6"/>
      <c r="AC13" s="6">
        <v>10.96</v>
      </c>
      <c r="AD13" s="6">
        <v>4.1500000000000004</v>
      </c>
      <c r="AE13" s="6"/>
      <c r="AF13" s="6"/>
      <c r="AG13" s="6">
        <v>11.97</v>
      </c>
      <c r="AH13" s="6">
        <v>6</v>
      </c>
      <c r="AI13" s="2">
        <f t="shared" si="0"/>
        <v>48.18</v>
      </c>
    </row>
    <row r="14" spans="1:35" x14ac:dyDescent="0.25">
      <c r="A14" s="24">
        <v>8</v>
      </c>
      <c r="B14" s="7" t="s">
        <v>15</v>
      </c>
      <c r="C14" s="8" t="s">
        <v>12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3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3</v>
      </c>
    </row>
    <row r="15" spans="1:35" x14ac:dyDescent="0.25">
      <c r="A15" s="24">
        <v>9</v>
      </c>
      <c r="B15" s="7" t="s">
        <v>16</v>
      </c>
      <c r="C15" s="8" t="s">
        <v>12</v>
      </c>
      <c r="D15" s="6"/>
      <c r="E15" s="4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5.66</v>
      </c>
      <c r="Y15" s="6">
        <v>11.1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16.759999999999998</v>
      </c>
    </row>
    <row r="16" spans="1:35" x14ac:dyDescent="0.25">
      <c r="A16" s="24">
        <v>10</v>
      </c>
      <c r="B16" s="7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8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8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8"/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4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12.1</v>
      </c>
      <c r="F107" s="11">
        <f t="shared" si="1"/>
        <v>4.07</v>
      </c>
      <c r="G107" s="3">
        <f t="shared" si="1"/>
        <v>0</v>
      </c>
      <c r="H107" s="3">
        <f t="shared" si="1"/>
        <v>9.1300000000000008</v>
      </c>
      <c r="I107" s="3">
        <f t="shared" si="1"/>
        <v>10.02</v>
      </c>
      <c r="J107" s="3">
        <f t="shared" si="1"/>
        <v>9.92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0</v>
      </c>
      <c r="N107" s="3">
        <f t="shared" si="1"/>
        <v>0</v>
      </c>
      <c r="O107" s="3">
        <f t="shared" si="1"/>
        <v>8.8000000000000007</v>
      </c>
      <c r="P107" s="3">
        <f t="shared" si="1"/>
        <v>11.08</v>
      </c>
      <c r="Q107" s="3">
        <f t="shared" si="1"/>
        <v>10.36</v>
      </c>
      <c r="R107" s="3">
        <f t="shared" si="1"/>
        <v>9.75</v>
      </c>
      <c r="S107" s="3">
        <f t="shared" si="1"/>
        <v>9.8699999999999992</v>
      </c>
      <c r="T107" s="3">
        <f t="shared" si="1"/>
        <v>0</v>
      </c>
      <c r="U107" s="3">
        <f t="shared" si="1"/>
        <v>0</v>
      </c>
      <c r="V107" s="3">
        <f t="shared" si="1"/>
        <v>10.88</v>
      </c>
      <c r="W107" s="3">
        <f t="shared" si="1"/>
        <v>9.1</v>
      </c>
      <c r="X107" s="3">
        <f t="shared" si="1"/>
        <v>9.66</v>
      </c>
      <c r="Y107" s="3">
        <f t="shared" si="1"/>
        <v>11.1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10.96</v>
      </c>
      <c r="AD107" s="3">
        <f t="shared" si="1"/>
        <v>10.97</v>
      </c>
      <c r="AE107" s="3">
        <f t="shared" si="1"/>
        <v>11.13</v>
      </c>
      <c r="AF107" s="3">
        <f t="shared" si="1"/>
        <v>11.27</v>
      </c>
      <c r="AG107" s="3">
        <f t="shared" si="1"/>
        <v>11.97</v>
      </c>
      <c r="AH107" s="3">
        <f t="shared" si="1"/>
        <v>6</v>
      </c>
      <c r="AI107" s="1">
        <f>SUM(D107:AH107)</f>
        <v>225.74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78" zoomScaleNormal="78" workbookViewId="0">
      <pane xSplit="3" topLeftCell="X1" activePane="topRight" state="frozen"/>
      <selection pane="topRight" activeCell="B10" sqref="B10:C10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 t="s">
        <v>14</v>
      </c>
      <c r="C7" s="8" t="s">
        <v>12</v>
      </c>
      <c r="D7" s="6"/>
      <c r="E7" s="6">
        <v>9.14</v>
      </c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9.14</v>
      </c>
    </row>
    <row r="8" spans="1:35" x14ac:dyDescent="0.25">
      <c r="A8" s="24">
        <v>2</v>
      </c>
      <c r="B8" s="8" t="s">
        <v>17</v>
      </c>
      <c r="C8" s="8" t="s">
        <v>18</v>
      </c>
      <c r="D8" s="6"/>
      <c r="E8" s="6"/>
      <c r="F8" s="40"/>
      <c r="G8" s="6">
        <v>9.43</v>
      </c>
      <c r="H8" s="6">
        <v>1.73</v>
      </c>
      <c r="I8" s="6"/>
      <c r="J8" s="6"/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11.16</v>
      </c>
    </row>
    <row r="9" spans="1:35" x14ac:dyDescent="0.25">
      <c r="A9" s="24">
        <v>3</v>
      </c>
      <c r="B9" s="8" t="s">
        <v>7</v>
      </c>
      <c r="C9" s="8" t="s">
        <v>12</v>
      </c>
      <c r="D9" s="6"/>
      <c r="E9" s="6"/>
      <c r="F9" s="40">
        <v>11.08</v>
      </c>
      <c r="G9" s="6"/>
      <c r="H9" s="6">
        <v>1.1499999999999999</v>
      </c>
      <c r="I9" s="6">
        <v>9.2899999999999991</v>
      </c>
      <c r="J9" s="6">
        <v>7.67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29.189999999999998</v>
      </c>
    </row>
    <row r="10" spans="1:35" x14ac:dyDescent="0.25">
      <c r="A10" s="24">
        <v>4</v>
      </c>
      <c r="B10" s="7" t="s">
        <v>15</v>
      </c>
      <c r="C10" s="8" t="s">
        <v>12</v>
      </c>
      <c r="D10" s="6"/>
      <c r="E10" s="6"/>
      <c r="F10" s="6"/>
      <c r="G10" s="6"/>
      <c r="H10" s="6">
        <v>8.3000000000000007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>
        <v>10.1</v>
      </c>
      <c r="AA10" s="6">
        <v>9.34</v>
      </c>
      <c r="AB10" s="6">
        <v>9.1999999999999993</v>
      </c>
      <c r="AC10" s="6">
        <v>9.6</v>
      </c>
      <c r="AD10" s="6">
        <v>9.3000000000000007</v>
      </c>
      <c r="AE10" s="6"/>
      <c r="AF10" s="6"/>
      <c r="AG10" s="6"/>
      <c r="AH10" s="6"/>
      <c r="AI10" s="2">
        <f t="shared" si="0"/>
        <v>55.84</v>
      </c>
    </row>
    <row r="11" spans="1:35" x14ac:dyDescent="0.25">
      <c r="A11" s="24">
        <v>5</v>
      </c>
      <c r="B11" s="7" t="s">
        <v>16</v>
      </c>
      <c r="C11" s="8" t="s">
        <v>12</v>
      </c>
      <c r="D11" s="6"/>
      <c r="E11" s="6"/>
      <c r="F11" s="6"/>
      <c r="G11" s="6"/>
      <c r="H11" s="6"/>
      <c r="I11" s="6"/>
      <c r="J11" s="6"/>
      <c r="K11" s="6"/>
      <c r="L11" s="6"/>
      <c r="M11" s="6">
        <v>11.08</v>
      </c>
      <c r="N11" s="40">
        <v>9</v>
      </c>
      <c r="O11" s="6">
        <v>9.75</v>
      </c>
      <c r="P11" s="6">
        <v>8.91</v>
      </c>
      <c r="Q11" s="6">
        <v>5.88</v>
      </c>
      <c r="R11" s="6">
        <v>5.56</v>
      </c>
      <c r="S11" s="6">
        <v>8.65</v>
      </c>
      <c r="T11" s="6">
        <v>9.09</v>
      </c>
      <c r="U11" s="6"/>
      <c r="V11" s="6">
        <v>9.36</v>
      </c>
      <c r="W11" s="6">
        <v>9.5399999999999991</v>
      </c>
      <c r="X11" s="6">
        <v>7.88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94.699999999999989</v>
      </c>
    </row>
    <row r="12" spans="1:35" x14ac:dyDescent="0.25">
      <c r="A12" s="24">
        <v>6</v>
      </c>
      <c r="B12" s="7" t="s">
        <v>19</v>
      </c>
      <c r="C12" s="48" t="s">
        <v>20</v>
      </c>
      <c r="D12" s="6"/>
      <c r="E12" s="6"/>
      <c r="F12" s="6"/>
      <c r="G12" s="6"/>
      <c r="H12" s="6"/>
      <c r="I12" s="6"/>
      <c r="J12" s="6"/>
      <c r="K12" s="6"/>
      <c r="L12" s="47">
        <v>9.5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9.5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9.14</v>
      </c>
      <c r="F107" s="11">
        <f t="shared" si="1"/>
        <v>11.08</v>
      </c>
      <c r="G107" s="3">
        <f t="shared" si="1"/>
        <v>9.43</v>
      </c>
      <c r="H107" s="3">
        <f t="shared" si="1"/>
        <v>11.18</v>
      </c>
      <c r="I107" s="3">
        <f t="shared" si="1"/>
        <v>9.2899999999999991</v>
      </c>
      <c r="J107" s="3">
        <f t="shared" si="1"/>
        <v>7.67</v>
      </c>
      <c r="K107" s="3">
        <f t="shared" si="1"/>
        <v>0</v>
      </c>
      <c r="L107" s="3">
        <f t="shared" si="1"/>
        <v>9.5</v>
      </c>
      <c r="M107" s="3">
        <f t="shared" si="1"/>
        <v>11.08</v>
      </c>
      <c r="N107" s="3">
        <f t="shared" si="1"/>
        <v>9</v>
      </c>
      <c r="O107" s="3">
        <f t="shared" si="1"/>
        <v>9.75</v>
      </c>
      <c r="P107" s="3">
        <f t="shared" si="1"/>
        <v>8.91</v>
      </c>
      <c r="Q107" s="3">
        <f t="shared" si="1"/>
        <v>5.88</v>
      </c>
      <c r="R107" s="3">
        <f t="shared" si="1"/>
        <v>5.56</v>
      </c>
      <c r="S107" s="3">
        <f t="shared" si="1"/>
        <v>8.65</v>
      </c>
      <c r="T107" s="3">
        <f t="shared" si="1"/>
        <v>9.09</v>
      </c>
      <c r="U107" s="3">
        <f t="shared" si="1"/>
        <v>0</v>
      </c>
      <c r="V107" s="3">
        <f t="shared" si="1"/>
        <v>9.36</v>
      </c>
      <c r="W107" s="3">
        <f t="shared" si="1"/>
        <v>9.5399999999999991</v>
      </c>
      <c r="X107" s="3">
        <f t="shared" si="1"/>
        <v>7.88</v>
      </c>
      <c r="Y107" s="3">
        <f t="shared" si="1"/>
        <v>0</v>
      </c>
      <c r="Z107" s="3">
        <f t="shared" si="1"/>
        <v>10.1</v>
      </c>
      <c r="AA107" s="3">
        <f t="shared" si="1"/>
        <v>9.34</v>
      </c>
      <c r="AB107" s="3">
        <f t="shared" si="1"/>
        <v>9.1999999999999993</v>
      </c>
      <c r="AC107" s="3">
        <f t="shared" si="1"/>
        <v>9.6</v>
      </c>
      <c r="AD107" s="3">
        <f t="shared" si="1"/>
        <v>9.3000000000000007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209.52999999999997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82" zoomScaleNormal="82" workbookViewId="0">
      <pane xSplit="3" topLeftCell="AD1" activePane="topRight" state="frozen"/>
      <selection pane="topRight" activeCell="AH12" sqref="AH12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 t="s">
        <v>15</v>
      </c>
      <c r="C7" s="48" t="s">
        <v>12</v>
      </c>
      <c r="D7" s="12"/>
      <c r="E7" s="4">
        <v>9.35</v>
      </c>
      <c r="F7" s="4">
        <v>9.3800000000000008</v>
      </c>
      <c r="G7" s="4">
        <v>9.5500000000000007</v>
      </c>
      <c r="H7" s="4">
        <v>10.48</v>
      </c>
      <c r="I7" s="4"/>
      <c r="J7" s="4"/>
      <c r="K7" s="4"/>
      <c r="L7" s="4">
        <v>9.23</v>
      </c>
      <c r="M7" s="4">
        <v>9.07</v>
      </c>
      <c r="N7" s="4">
        <v>9.42</v>
      </c>
      <c r="O7" s="4">
        <v>9</v>
      </c>
      <c r="P7" s="4">
        <v>10.68</v>
      </c>
      <c r="Q7" s="4"/>
      <c r="R7" s="4"/>
      <c r="S7" s="49">
        <v>10.130000000000001</v>
      </c>
      <c r="T7" s="4">
        <v>4</v>
      </c>
      <c r="U7" s="4">
        <v>9.1199999999999992</v>
      </c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109.41</v>
      </c>
    </row>
    <row r="8" spans="1:35" x14ac:dyDescent="0.25">
      <c r="A8" s="24">
        <v>2</v>
      </c>
      <c r="B8" s="48" t="s">
        <v>6</v>
      </c>
      <c r="C8" s="48" t="s">
        <v>12</v>
      </c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6.47</v>
      </c>
      <c r="U8" s="6"/>
      <c r="V8" s="6">
        <v>9.15</v>
      </c>
      <c r="W8" s="40">
        <v>9.82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25.44</v>
      </c>
    </row>
    <row r="9" spans="1:35" x14ac:dyDescent="0.25">
      <c r="A9" s="24">
        <v>3</v>
      </c>
      <c r="B9" s="50" t="s">
        <v>5</v>
      </c>
      <c r="C9" s="48" t="s">
        <v>12</v>
      </c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>
        <v>9.18</v>
      </c>
      <c r="AA9" s="6">
        <v>9.18</v>
      </c>
      <c r="AB9" s="6">
        <v>9.83</v>
      </c>
      <c r="AC9" s="6"/>
      <c r="AD9" s="6"/>
      <c r="AE9" s="6"/>
      <c r="AF9" s="6"/>
      <c r="AG9" s="6"/>
      <c r="AH9" s="6"/>
      <c r="AI9" s="2">
        <f t="shared" si="0"/>
        <v>28.189999999999998</v>
      </c>
    </row>
    <row r="10" spans="1:35" x14ac:dyDescent="0.25">
      <c r="A10" s="24">
        <v>4</v>
      </c>
      <c r="B10" s="7" t="s">
        <v>14</v>
      </c>
      <c r="C10" s="48" t="s">
        <v>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0"/>
      <c r="X10" s="6"/>
      <c r="Y10" s="6"/>
      <c r="Z10" s="6"/>
      <c r="AA10" s="6"/>
      <c r="AB10" s="6"/>
      <c r="AC10" s="6">
        <v>9.75</v>
      </c>
      <c r="AD10" s="6">
        <v>9.58</v>
      </c>
      <c r="AF10" s="6"/>
      <c r="AG10" s="6">
        <v>9.52</v>
      </c>
      <c r="AH10" s="6"/>
      <c r="AI10" s="2">
        <f t="shared" si="0"/>
        <v>28.849999999999998</v>
      </c>
    </row>
    <row r="11" spans="1:35" x14ac:dyDescent="0.25">
      <c r="A11" s="24">
        <v>5</v>
      </c>
      <c r="B11" s="7" t="s">
        <v>21</v>
      </c>
      <c r="C11" s="48" t="s">
        <v>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40"/>
      <c r="V11" s="6"/>
      <c r="W11" s="40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9</v>
      </c>
      <c r="AI11" s="2">
        <f t="shared" si="0"/>
        <v>9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4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9.35</v>
      </c>
      <c r="F107" s="11">
        <f t="shared" si="1"/>
        <v>9.3800000000000008</v>
      </c>
      <c r="G107" s="3">
        <f t="shared" si="1"/>
        <v>9.5500000000000007</v>
      </c>
      <c r="H107" s="3">
        <f t="shared" si="1"/>
        <v>10.48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9.23</v>
      </c>
      <c r="M107" s="3">
        <f t="shared" si="1"/>
        <v>9.07</v>
      </c>
      <c r="N107" s="3">
        <f t="shared" si="1"/>
        <v>9.42</v>
      </c>
      <c r="O107" s="3">
        <f t="shared" si="1"/>
        <v>9</v>
      </c>
      <c r="P107" s="3">
        <f t="shared" si="1"/>
        <v>10.68</v>
      </c>
      <c r="Q107" s="3">
        <f t="shared" si="1"/>
        <v>0</v>
      </c>
      <c r="R107" s="3">
        <f t="shared" si="1"/>
        <v>0</v>
      </c>
      <c r="S107" s="3">
        <f t="shared" si="1"/>
        <v>10.130000000000001</v>
      </c>
      <c r="T107" s="3">
        <f t="shared" si="1"/>
        <v>10.469999999999999</v>
      </c>
      <c r="U107" s="3">
        <f t="shared" si="1"/>
        <v>9.1199999999999992</v>
      </c>
      <c r="V107" s="3">
        <f t="shared" si="1"/>
        <v>9.15</v>
      </c>
      <c r="W107" s="3">
        <f t="shared" si="1"/>
        <v>9.82</v>
      </c>
      <c r="X107" s="3">
        <f t="shared" si="1"/>
        <v>0</v>
      </c>
      <c r="Y107" s="3">
        <f t="shared" si="1"/>
        <v>0</v>
      </c>
      <c r="Z107" s="3">
        <f t="shared" si="1"/>
        <v>9.18</v>
      </c>
      <c r="AA107" s="3">
        <f t="shared" si="1"/>
        <v>9.18</v>
      </c>
      <c r="AB107" s="3">
        <f t="shared" si="1"/>
        <v>9.83</v>
      </c>
      <c r="AC107" s="3">
        <f t="shared" si="1"/>
        <v>9.75</v>
      </c>
      <c r="AD107" s="3">
        <f t="shared" si="1"/>
        <v>9.58</v>
      </c>
      <c r="AE107" s="3">
        <f t="shared" si="1"/>
        <v>0</v>
      </c>
      <c r="AF107" s="3">
        <f t="shared" si="1"/>
        <v>0</v>
      </c>
      <c r="AG107" s="3">
        <f t="shared" si="1"/>
        <v>9.52</v>
      </c>
      <c r="AH107" s="3">
        <f t="shared" si="1"/>
        <v>9</v>
      </c>
      <c r="AI107" s="1">
        <f>SUM(D107:AH107)</f>
        <v>200.89000000000004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9 D11:AH106 D10:AD10 AF10:AH10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7" sqref="B7:AH94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93" zoomScaleNormal="100" workbookViewId="0">
      <pane xSplit="3" topLeftCell="AF1" activePane="topRight" state="frozen"/>
      <selection pane="topRight" activeCell="AH17" sqref="D7:AH17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8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8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8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91" zoomScaleNormal="100" workbookViewId="0">
      <pane xSplit="3" topLeftCell="AF1" activePane="topRight" state="frozen"/>
      <selection pane="topRight" activeCell="B7" sqref="B7:AH81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8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8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8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8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8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8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8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8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8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8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8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8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8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8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8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6" zoomScale="85" zoomScaleNormal="85" workbookViewId="0">
      <pane xSplit="3" topLeftCell="AB1" activePane="topRight" state="frozen"/>
      <selection pane="topRight" activeCell="B7" sqref="B7:AH106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8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4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8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44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2" zoomScaleNormal="100" workbookViewId="0">
      <pane xSplit="3" topLeftCell="AE1" activePane="topRight" state="frozen"/>
      <selection pane="topRight" activeCell="B7" sqref="B7:AH106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4" zoomScaleNormal="100" workbookViewId="0">
      <pane xSplit="3" topLeftCell="AF1" activePane="topRight" state="frozen"/>
      <selection pane="topRight" activeCell="B18" sqref="B7:AH18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/>
      <c r="C7" s="8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0</v>
      </c>
    </row>
    <row r="8" spans="1:35" x14ac:dyDescent="0.25">
      <c r="A8" s="24">
        <v>2</v>
      </c>
      <c r="B8" s="8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>SUM(D7:D106)</f>
        <v>0</v>
      </c>
      <c r="E107" s="11">
        <f t="shared" ref="E107:AH107" si="1">SUM(E7:E106)</f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D1" activePane="topRight" state="frozen"/>
      <selection pane="topRight" activeCell="AH25" sqref="B7:AH25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4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0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8 D19:Y19 AA19:AH19 D20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7" sqref="B7:AH15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/>
      <c r="C7" s="8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45"/>
      <c r="C11" s="4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45"/>
      <c r="C12" s="4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45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40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7 D8:H8 J8:AH8 D9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7" sqref="B7:AH11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/>
      <c r="C7" s="45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46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7"/>
      <c r="C9" s="46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4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8"/>
      <c r="C11" s="4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2026-04-01T16:24:45Z</dcterms:modified>
</cp:coreProperties>
</file>